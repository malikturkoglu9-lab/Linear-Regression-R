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k\Downloads\"/>
    </mc:Choice>
  </mc:AlternateContent>
  <xr:revisionPtr revIDLastSave="0" documentId="8_{7743E31A-78F4-4F48-98DD-18CF2F1A6646}" xr6:coauthVersionLast="47" xr6:coauthVersionMax="47" xr10:uidLastSave="{00000000-0000-0000-0000-000000000000}"/>
  <bookViews>
    <workbookView xWindow="-120" yWindow="-120" windowWidth="29040" windowHeight="16440" firstSheet="1" activeTab="1" xr2:uid="{A93D0F8C-F3E9-4898-8783-D06FD6E889C3}"/>
  </bookViews>
  <sheets>
    <sheet name="groupe 4" sheetId="4" r:id="rId1"/>
    <sheet name="Scoring RFM" sheetId="6" r:id="rId2"/>
    <sheet name="Questions" sheetId="5" r:id="rId3"/>
    <sheet name="Loi Pareto" sheetId="7" r:id="rId4"/>
    <sheet name="Méthode ABC" sheetId="8" r:id="rId5"/>
    <sheet name="Feuil3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6" l="1" a="1"/>
  <c r="P6" i="6"/>
  <c r="P7" i="6" a="1"/>
  <c r="P7" i="6"/>
  <c r="P8" i="6" a="1"/>
  <c r="P8" i="6"/>
  <c r="P9" i="6" a="1"/>
  <c r="P9" i="6"/>
  <c r="P10" i="6" a="1"/>
  <c r="P10" i="6"/>
  <c r="P11" i="6" a="1"/>
  <c r="P11" i="6"/>
  <c r="P12" i="6" a="1"/>
  <c r="P12" i="6"/>
  <c r="P13" i="6" a="1"/>
  <c r="P13" i="6"/>
  <c r="P14" i="6" a="1"/>
  <c r="P14" i="6"/>
  <c r="P15" i="6" a="1"/>
  <c r="P15" i="6"/>
  <c r="P16" i="6" a="1"/>
  <c r="P16" i="6"/>
  <c r="P17" i="6" a="1"/>
  <c r="P17" i="6"/>
  <c r="P18" i="6" a="1"/>
  <c r="P18" i="6"/>
  <c r="P19" i="6" a="1"/>
  <c r="P19" i="6"/>
  <c r="P20" i="6" a="1"/>
  <c r="P20" i="6"/>
  <c r="P21" i="6" a="1"/>
  <c r="P21" i="6"/>
  <c r="P22" i="6" a="1"/>
  <c r="P22" i="6"/>
  <c r="P23" i="6" a="1"/>
  <c r="P23" i="6"/>
  <c r="P24" i="6" a="1"/>
  <c r="P24" i="6"/>
  <c r="P25" i="6" a="1"/>
  <c r="P25" i="6"/>
  <c r="P26" i="6" a="1"/>
  <c r="P26" i="6"/>
  <c r="P27" i="6" a="1"/>
  <c r="P27" i="6"/>
  <c r="P28" i="6" a="1"/>
  <c r="P28" i="6"/>
  <c r="P29" i="6" a="1"/>
  <c r="P29" i="6"/>
  <c r="P30" i="6" a="1"/>
  <c r="P30" i="6"/>
  <c r="P31" i="6" a="1"/>
  <c r="P31" i="6"/>
  <c r="P32" i="6" a="1"/>
  <c r="P32" i="6"/>
  <c r="P33" i="6" a="1"/>
  <c r="P33" i="6"/>
  <c r="P34" i="6" a="1"/>
  <c r="P34" i="6"/>
  <c r="P35" i="6" a="1"/>
  <c r="P35" i="6"/>
  <c r="P36" i="6" a="1"/>
  <c r="P36" i="6"/>
  <c r="P37" i="6" a="1"/>
  <c r="P37" i="6"/>
  <c r="P38" i="6" a="1"/>
  <c r="P38" i="6"/>
  <c r="P39" i="6" a="1"/>
  <c r="P39" i="6"/>
  <c r="Q39" i="6"/>
  <c r="P5" i="6" a="1"/>
  <c r="P5" i="6"/>
  <c r="H6" i="6" a="1"/>
  <c r="H6" i="6"/>
  <c r="H7" i="6" a="1"/>
  <c r="H7" i="6"/>
  <c r="H8" i="6" a="1"/>
  <c r="H8" i="6"/>
  <c r="H9" i="6" a="1"/>
  <c r="H9" i="6"/>
  <c r="H10" i="6" a="1"/>
  <c r="H10" i="6"/>
  <c r="H11" i="6" a="1"/>
  <c r="H11" i="6"/>
  <c r="H12" i="6" a="1"/>
  <c r="H12" i="6"/>
  <c r="H13" i="6" a="1"/>
  <c r="H13" i="6"/>
  <c r="H14" i="6" a="1"/>
  <c r="H14" i="6"/>
  <c r="H15" i="6" a="1"/>
  <c r="H15" i="6"/>
  <c r="H16" i="6" a="1"/>
  <c r="H16" i="6"/>
  <c r="H17" i="6" a="1"/>
  <c r="H17" i="6"/>
  <c r="H18" i="6" a="1"/>
  <c r="H18" i="6"/>
  <c r="H19" i="6" a="1"/>
  <c r="H19" i="6"/>
  <c r="H20" i="6" a="1"/>
  <c r="H20" i="6"/>
  <c r="H21" i="6" a="1"/>
  <c r="H21" i="6"/>
  <c r="H22" i="6" a="1"/>
  <c r="H22" i="6"/>
  <c r="H23" i="6" a="1"/>
  <c r="H23" i="6"/>
  <c r="H24" i="6" a="1"/>
  <c r="H24" i="6"/>
  <c r="H25" i="6" a="1"/>
  <c r="H25" i="6"/>
  <c r="H26" i="6" a="1"/>
  <c r="H26" i="6"/>
  <c r="H27" i="6" a="1"/>
  <c r="H27" i="6"/>
  <c r="H28" i="6" a="1"/>
  <c r="H28" i="6"/>
  <c r="H29" i="6" a="1"/>
  <c r="H29" i="6"/>
  <c r="H30" i="6" a="1"/>
  <c r="H30" i="6"/>
  <c r="H31" i="6" a="1"/>
  <c r="H31" i="6"/>
  <c r="H32" i="6" a="1"/>
  <c r="H32" i="6"/>
  <c r="H33" i="6" a="1"/>
  <c r="H33" i="6"/>
  <c r="H34" i="6" a="1"/>
  <c r="H34" i="6"/>
  <c r="H35" i="6" a="1"/>
  <c r="H35" i="6"/>
  <c r="H36" i="6" a="1"/>
  <c r="H36" i="6"/>
  <c r="H37" i="6" a="1"/>
  <c r="H37" i="6"/>
  <c r="H38" i="6" a="1"/>
  <c r="H38" i="6"/>
  <c r="H39" i="6" a="1"/>
  <c r="H39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5" i="6"/>
  <c r="H5" i="6" a="1"/>
  <c r="H5" i="6"/>
  <c r="F6" i="6" a="1"/>
  <c r="F6" i="6"/>
  <c r="F7" i="6" a="1"/>
  <c r="F7" i="6"/>
  <c r="F8" i="6" a="1"/>
  <c r="F8" i="6"/>
  <c r="F9" i="6" a="1"/>
  <c r="F9" i="6"/>
  <c r="F10" i="6" a="1"/>
  <c r="F10" i="6"/>
  <c r="F11" i="6" a="1"/>
  <c r="F11" i="6"/>
  <c r="F12" i="6" a="1"/>
  <c r="F12" i="6"/>
  <c r="F13" i="6" a="1"/>
  <c r="F13" i="6"/>
  <c r="F14" i="6" a="1"/>
  <c r="F14" i="6"/>
  <c r="F15" i="6" a="1"/>
  <c r="F15" i="6"/>
  <c r="F16" i="6" a="1"/>
  <c r="F16" i="6"/>
  <c r="F17" i="6" a="1"/>
  <c r="F17" i="6"/>
  <c r="F18" i="6" a="1"/>
  <c r="F18" i="6"/>
  <c r="F19" i="6" a="1"/>
  <c r="F19" i="6"/>
  <c r="F20" i="6" a="1"/>
  <c r="F20" i="6"/>
  <c r="F21" i="6" a="1"/>
  <c r="F21" i="6"/>
  <c r="F22" i="6" a="1"/>
  <c r="F22" i="6"/>
  <c r="F23" i="6" a="1"/>
  <c r="F23" i="6"/>
  <c r="F24" i="6" a="1"/>
  <c r="F24" i="6"/>
  <c r="F25" i="6" a="1"/>
  <c r="F25" i="6"/>
  <c r="F26" i="6" a="1"/>
  <c r="F26" i="6"/>
  <c r="F27" i="6" a="1"/>
  <c r="F27" i="6"/>
  <c r="F28" i="6" a="1"/>
  <c r="F28" i="6"/>
  <c r="F29" i="6" a="1"/>
  <c r="F29" i="6"/>
  <c r="F30" i="6" a="1"/>
  <c r="F30" i="6"/>
  <c r="F31" i="6" a="1"/>
  <c r="F31" i="6"/>
  <c r="F32" i="6" a="1"/>
  <c r="F32" i="6"/>
  <c r="F33" i="6" a="1"/>
  <c r="F33" i="6"/>
  <c r="F34" i="6" a="1"/>
  <c r="F34" i="6"/>
  <c r="F35" i="6" a="1"/>
  <c r="F35" i="6"/>
  <c r="F36" i="6" a="1"/>
  <c r="F36" i="6"/>
  <c r="F37" i="6" a="1"/>
  <c r="F37" i="6"/>
  <c r="F38" i="6" a="1"/>
  <c r="F38" i="6"/>
  <c r="F39" i="6" a="1"/>
  <c r="F39" i="6"/>
  <c r="F5" i="6" a="1"/>
  <c r="F5" i="6"/>
  <c r="C39" i="8" l="1"/>
  <c r="B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F4" i="8" s="1"/>
  <c r="D4" i="8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5" i="7"/>
  <c r="F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4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5" i="7"/>
  <c r="D4" i="7"/>
  <c r="C39" i="7"/>
  <c r="B39" i="7"/>
  <c r="M5" i="6"/>
  <c r="N39" i="6" a="1"/>
  <c r="N39" i="6"/>
  <c r="N5" i="6" a="1"/>
  <c r="N5" i="6"/>
  <c r="M6" i="6"/>
  <c r="N6" i="6" s="1" a="1"/>
  <c r="N6" i="6" s="1"/>
  <c r="M7" i="6"/>
  <c r="N7" i="6" s="1" a="1"/>
  <c r="N7" i="6" s="1"/>
  <c r="Q7" i="6" s="1"/>
  <c r="M8" i="6"/>
  <c r="N8" i="6" s="1" a="1"/>
  <c r="N8" i="6" s="1"/>
  <c r="Q8" i="6" s="1"/>
  <c r="M9" i="6"/>
  <c r="N9" i="6" s="1" a="1"/>
  <c r="N9" i="6" s="1"/>
  <c r="Q9" i="6" s="1"/>
  <c r="M10" i="6"/>
  <c r="N10" i="6" s="1" a="1"/>
  <c r="N10" i="6" s="1"/>
  <c r="Q10" i="6" s="1"/>
  <c r="M11" i="6"/>
  <c r="N11" i="6" s="1" a="1"/>
  <c r="N11" i="6" s="1"/>
  <c r="Q11" i="6" s="1"/>
  <c r="M12" i="6"/>
  <c r="N12" i="6" s="1" a="1"/>
  <c r="N12" i="6" s="1"/>
  <c r="Q12" i="6" s="1"/>
  <c r="M13" i="6"/>
  <c r="N13" i="6" s="1" a="1"/>
  <c r="N13" i="6" s="1"/>
  <c r="Q13" i="6" s="1"/>
  <c r="M14" i="6"/>
  <c r="N14" i="6" s="1" a="1"/>
  <c r="N14" i="6" s="1"/>
  <c r="Q14" i="6" s="1"/>
  <c r="M15" i="6"/>
  <c r="N15" i="6" s="1" a="1"/>
  <c r="N15" i="6" s="1"/>
  <c r="Q15" i="6" s="1"/>
  <c r="M16" i="6"/>
  <c r="N16" i="6" s="1" a="1"/>
  <c r="N16" i="6" s="1"/>
  <c r="Q16" i="6" s="1"/>
  <c r="M17" i="6"/>
  <c r="N17" i="6" s="1" a="1"/>
  <c r="N17" i="6" s="1"/>
  <c r="Q17" i="6" s="1"/>
  <c r="M18" i="6"/>
  <c r="N18" i="6" s="1" a="1"/>
  <c r="N18" i="6" s="1"/>
  <c r="Q18" i="6" s="1"/>
  <c r="M19" i="6"/>
  <c r="N19" i="6" s="1" a="1"/>
  <c r="N19" i="6" s="1"/>
  <c r="Q19" i="6" s="1"/>
  <c r="M20" i="6"/>
  <c r="N20" i="6" s="1" a="1"/>
  <c r="N20" i="6" s="1"/>
  <c r="Q20" i="6" s="1"/>
  <c r="M21" i="6"/>
  <c r="N21" i="6" s="1" a="1"/>
  <c r="N21" i="6" s="1"/>
  <c r="Q21" i="6" s="1"/>
  <c r="M22" i="6"/>
  <c r="N22" i="6" s="1" a="1"/>
  <c r="N22" i="6" s="1"/>
  <c r="Q22" i="6" s="1"/>
  <c r="M23" i="6"/>
  <c r="N23" i="6" s="1" a="1"/>
  <c r="N23" i="6" s="1"/>
  <c r="Q23" i="6" s="1"/>
  <c r="M24" i="6"/>
  <c r="N24" i="6" s="1" a="1"/>
  <c r="N24" i="6" s="1"/>
  <c r="Q24" i="6" s="1"/>
  <c r="M25" i="6"/>
  <c r="N25" i="6" s="1" a="1"/>
  <c r="N25" i="6" s="1"/>
  <c r="Q25" i="6" s="1"/>
  <c r="M26" i="6"/>
  <c r="N26" i="6" s="1" a="1"/>
  <c r="N26" i="6" s="1"/>
  <c r="Q26" i="6" s="1"/>
  <c r="M27" i="6"/>
  <c r="N27" i="6" s="1" a="1"/>
  <c r="N27" i="6" s="1"/>
  <c r="Q27" i="6" s="1"/>
  <c r="M28" i="6"/>
  <c r="N28" i="6" s="1" a="1"/>
  <c r="N28" i="6" s="1"/>
  <c r="Q28" i="6" s="1"/>
  <c r="M29" i="6"/>
  <c r="N29" i="6" s="1" a="1"/>
  <c r="N29" i="6" s="1"/>
  <c r="Q29" i="6" s="1"/>
  <c r="M30" i="6"/>
  <c r="N30" i="6" s="1" a="1"/>
  <c r="N30" i="6" s="1"/>
  <c r="Q30" i="6" s="1"/>
  <c r="M31" i="6"/>
  <c r="N31" i="6" s="1" a="1"/>
  <c r="N31" i="6" s="1"/>
  <c r="Q31" i="6" s="1"/>
  <c r="M32" i="6"/>
  <c r="N32" i="6" s="1" a="1"/>
  <c r="N32" i="6" s="1"/>
  <c r="Q32" i="6" s="1"/>
  <c r="M33" i="6"/>
  <c r="N33" i="6" s="1" a="1"/>
  <c r="N33" i="6" s="1"/>
  <c r="Q33" i="6" s="1"/>
  <c r="M34" i="6"/>
  <c r="N34" i="6" s="1" a="1"/>
  <c r="N34" i="6" s="1"/>
  <c r="Q34" i="6" s="1"/>
  <c r="M35" i="6"/>
  <c r="N35" i="6" s="1" a="1"/>
  <c r="N35" i="6" s="1"/>
  <c r="Q35" i="6" s="1"/>
  <c r="M36" i="6"/>
  <c r="N36" i="6" s="1" a="1"/>
  <c r="N36" i="6" s="1"/>
  <c r="Q36" i="6" s="1"/>
  <c r="M37" i="6"/>
  <c r="N37" i="6" s="1" a="1"/>
  <c r="N37" i="6" s="1"/>
  <c r="Q37" i="6" s="1"/>
  <c r="M38" i="6"/>
  <c r="N38" i="6" s="1" a="1"/>
  <c r="N38" i="6" s="1"/>
  <c r="Q38" i="6" s="1"/>
  <c r="M39" i="6"/>
  <c r="L6" i="6" a="1"/>
  <c r="L6" i="6"/>
  <c r="L7" i="6" a="1"/>
  <c r="L7" i="6"/>
  <c r="L8" i="6" a="1"/>
  <c r="L8" i="6"/>
  <c r="L9" i="6" a="1"/>
  <c r="L9" i="6"/>
  <c r="L10" i="6" a="1"/>
  <c r="L10" i="6"/>
  <c r="L11" i="6" a="1"/>
  <c r="L11" i="6"/>
  <c r="L12" i="6" a="1"/>
  <c r="L12" i="6"/>
  <c r="L13" i="6" a="1"/>
  <c r="L13" i="6"/>
  <c r="L14" i="6" a="1"/>
  <c r="L14" i="6"/>
  <c r="L15" i="6" a="1"/>
  <c r="L15" i="6"/>
  <c r="L16" i="6" a="1"/>
  <c r="L16" i="6"/>
  <c r="L17" i="6" a="1"/>
  <c r="L17" i="6"/>
  <c r="L18" i="6" a="1"/>
  <c r="L18" i="6"/>
  <c r="L19" i="6" a="1"/>
  <c r="L19" i="6"/>
  <c r="L20" i="6" a="1"/>
  <c r="L20" i="6"/>
  <c r="L21" i="6" a="1"/>
  <c r="L21" i="6"/>
  <c r="L22" i="6" a="1"/>
  <c r="L22" i="6"/>
  <c r="L23" i="6" a="1"/>
  <c r="L23" i="6"/>
  <c r="L24" i="6" a="1"/>
  <c r="L24" i="6"/>
  <c r="L25" i="6" a="1"/>
  <c r="L25" i="6"/>
  <c r="L26" i="6" a="1"/>
  <c r="L26" i="6"/>
  <c r="L27" i="6" a="1"/>
  <c r="L27" i="6"/>
  <c r="L28" i="6" a="1"/>
  <c r="L28" i="6"/>
  <c r="L29" i="6" a="1"/>
  <c r="L29" i="6"/>
  <c r="L30" i="6" a="1"/>
  <c r="L30" i="6"/>
  <c r="L31" i="6" a="1"/>
  <c r="L31" i="6"/>
  <c r="L32" i="6" a="1"/>
  <c r="L32" i="6"/>
  <c r="L33" i="6" a="1"/>
  <c r="L33" i="6"/>
  <c r="L34" i="6" a="1"/>
  <c r="L34" i="6"/>
  <c r="L35" i="6" a="1"/>
  <c r="L35" i="6"/>
  <c r="L36" i="6" a="1"/>
  <c r="L36" i="6"/>
  <c r="L37" i="6" a="1"/>
  <c r="L37" i="6"/>
  <c r="L38" i="6" a="1"/>
  <c r="L38" i="6"/>
  <c r="L39" i="6" a="1"/>
  <c r="L39" i="6"/>
  <c r="L5" i="6" a="1"/>
  <c r="L5" i="6"/>
  <c r="I6" i="6"/>
  <c r="J6" i="6" s="1" a="1"/>
  <c r="J6" i="6" s="1"/>
  <c r="I7" i="6"/>
  <c r="J7" i="6" s="1" a="1"/>
  <c r="J7" i="6" s="1"/>
  <c r="I8" i="6"/>
  <c r="J8" i="6" s="1" a="1"/>
  <c r="J8" i="6" s="1"/>
  <c r="I9" i="6"/>
  <c r="J9" i="6" s="1" a="1"/>
  <c r="J9" i="6" s="1"/>
  <c r="I10" i="6"/>
  <c r="J10" i="6" s="1" a="1"/>
  <c r="J10" i="6" s="1"/>
  <c r="I11" i="6"/>
  <c r="J11" i="6" s="1" a="1"/>
  <c r="J11" i="6" s="1"/>
  <c r="I12" i="6"/>
  <c r="J12" i="6" s="1" a="1"/>
  <c r="J12" i="6" s="1"/>
  <c r="I13" i="6"/>
  <c r="J13" i="6" s="1" a="1"/>
  <c r="J13" i="6" s="1"/>
  <c r="I14" i="6"/>
  <c r="J14" i="6" s="1" a="1"/>
  <c r="J14" i="6" s="1"/>
  <c r="I15" i="6"/>
  <c r="J15" i="6" s="1" a="1"/>
  <c r="J15" i="6" s="1"/>
  <c r="I16" i="6"/>
  <c r="J16" i="6" s="1" a="1"/>
  <c r="J16" i="6" s="1"/>
  <c r="I17" i="6"/>
  <c r="J17" i="6" s="1" a="1"/>
  <c r="J17" i="6" s="1"/>
  <c r="I18" i="6"/>
  <c r="J18" i="6" s="1" a="1"/>
  <c r="J18" i="6" s="1"/>
  <c r="I19" i="6"/>
  <c r="J19" i="6" s="1" a="1"/>
  <c r="J19" i="6" s="1"/>
  <c r="I20" i="6"/>
  <c r="J20" i="6" s="1" a="1"/>
  <c r="J20" i="6" s="1"/>
  <c r="I21" i="6"/>
  <c r="J21" i="6" s="1" a="1"/>
  <c r="J21" i="6" s="1"/>
  <c r="I22" i="6"/>
  <c r="J22" i="6" s="1" a="1"/>
  <c r="J22" i="6" s="1"/>
  <c r="I23" i="6"/>
  <c r="J23" i="6" s="1" a="1"/>
  <c r="J23" i="6" s="1"/>
  <c r="I24" i="6"/>
  <c r="J24" i="6" s="1" a="1"/>
  <c r="J24" i="6" s="1"/>
  <c r="I25" i="6"/>
  <c r="J25" i="6" s="1" a="1"/>
  <c r="J25" i="6" s="1"/>
  <c r="I26" i="6"/>
  <c r="J26" i="6" s="1" a="1"/>
  <c r="J26" i="6" s="1"/>
  <c r="I27" i="6"/>
  <c r="J27" i="6" s="1" a="1"/>
  <c r="J27" i="6" s="1"/>
  <c r="I28" i="6"/>
  <c r="J28" i="6" s="1" a="1"/>
  <c r="J28" i="6" s="1"/>
  <c r="I29" i="6"/>
  <c r="J29" i="6" s="1" a="1"/>
  <c r="J29" i="6" s="1"/>
  <c r="I30" i="6"/>
  <c r="J30" i="6" s="1" a="1"/>
  <c r="J30" i="6" s="1"/>
  <c r="I31" i="6"/>
  <c r="J31" i="6" s="1" a="1"/>
  <c r="J31" i="6" s="1"/>
  <c r="I32" i="6"/>
  <c r="J32" i="6" s="1" a="1"/>
  <c r="J32" i="6" s="1"/>
  <c r="I33" i="6"/>
  <c r="J33" i="6" s="1" a="1"/>
  <c r="J33" i="6" s="1"/>
  <c r="I34" i="6"/>
  <c r="J34" i="6" s="1" a="1"/>
  <c r="J34" i="6" s="1"/>
  <c r="I35" i="6"/>
  <c r="J35" i="6" s="1" a="1"/>
  <c r="J35" i="6" s="1"/>
  <c r="I36" i="6"/>
  <c r="J36" i="6" s="1" a="1"/>
  <c r="J36" i="6" s="1"/>
  <c r="I37" i="6"/>
  <c r="J37" i="6" s="1" a="1"/>
  <c r="J37" i="6" s="1"/>
  <c r="I38" i="6"/>
  <c r="J38" i="6" s="1" a="1"/>
  <c r="J38" i="6" s="1"/>
  <c r="I39" i="6"/>
  <c r="J39" i="6" s="1" a="1"/>
  <c r="J39" i="6" s="1"/>
  <c r="I5" i="6"/>
  <c r="J5" i="6" s="1" a="1"/>
  <c r="J5" i="6" s="1"/>
  <c r="K7" i="4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5" i="6"/>
  <c r="R7" i="4" a="1"/>
  <c r="R7" i="4"/>
  <c r="P7" i="4" a="1"/>
  <c r="P7" i="4"/>
  <c r="N7" i="4" a="1"/>
  <c r="N7" i="4"/>
  <c r="L7" i="4" a="1"/>
  <c r="L7" i="4"/>
  <c r="J7" i="4" a="1"/>
  <c r="J7" i="4"/>
  <c r="H8" i="4" a="1"/>
  <c r="H8" i="4"/>
  <c r="H9" i="4" a="1"/>
  <c r="H9" i="4"/>
  <c r="H10" i="4" a="1"/>
  <c r="H10" i="4"/>
  <c r="H11" i="4" a="1"/>
  <c r="H11" i="4"/>
  <c r="H12" i="4" a="1"/>
  <c r="H12" i="4"/>
  <c r="H13" i="4" a="1"/>
  <c r="H13" i="4"/>
  <c r="H14" i="4" a="1"/>
  <c r="H14" i="4"/>
  <c r="H15" i="4" a="1"/>
  <c r="H15" i="4"/>
  <c r="H16" i="4" a="1"/>
  <c r="H16" i="4"/>
  <c r="H17" i="4" a="1"/>
  <c r="H17" i="4"/>
  <c r="H18" i="4" a="1"/>
  <c r="H18" i="4"/>
  <c r="H19" i="4" a="1"/>
  <c r="H19" i="4"/>
  <c r="H20" i="4" a="1"/>
  <c r="H20" i="4"/>
  <c r="H21" i="4" a="1"/>
  <c r="H21" i="4"/>
  <c r="H22" i="4" a="1"/>
  <c r="H22" i="4"/>
  <c r="H23" i="4" a="1"/>
  <c r="H23" i="4"/>
  <c r="H24" i="4" a="1"/>
  <c r="H24" i="4"/>
  <c r="H25" i="4" a="1"/>
  <c r="H25" i="4"/>
  <c r="H26" i="4" a="1"/>
  <c r="H26" i="4"/>
  <c r="H27" i="4" a="1"/>
  <c r="H27" i="4"/>
  <c r="H28" i="4" a="1"/>
  <c r="H28" i="4"/>
  <c r="H29" i="4" a="1"/>
  <c r="H29" i="4"/>
  <c r="H30" i="4" a="1"/>
  <c r="H30" i="4"/>
  <c r="H31" i="4" a="1"/>
  <c r="H31" i="4"/>
  <c r="H32" i="4" a="1"/>
  <c r="H32" i="4"/>
  <c r="H33" i="4" a="1"/>
  <c r="H33" i="4"/>
  <c r="H34" i="4" a="1"/>
  <c r="H34" i="4"/>
  <c r="H35" i="4" a="1"/>
  <c r="H35" i="4"/>
  <c r="H36" i="4" a="1"/>
  <c r="H36" i="4"/>
  <c r="H37" i="4" a="1"/>
  <c r="H37" i="4"/>
  <c r="H38" i="4" a="1"/>
  <c r="H38" i="4"/>
  <c r="H7" i="4" a="1"/>
  <c r="H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I7" i="4"/>
  <c r="G7" i="4"/>
  <c r="Q6" i="6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Q5" i="6"/>
  <c r="S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<sst xmlns="http://schemas.openxmlformats.org/spreadsheetml/2006/main" count="403" uniqueCount="98">
  <si>
    <t>Client</t>
  </si>
  <si>
    <t>Client 01</t>
  </si>
  <si>
    <t>Client 02</t>
  </si>
  <si>
    <t>Client 03</t>
  </si>
  <si>
    <t>Client 04</t>
  </si>
  <si>
    <t>Client 05</t>
  </si>
  <si>
    <t>Client 06</t>
  </si>
  <si>
    <t>Client 07</t>
  </si>
  <si>
    <t>Client 08</t>
  </si>
  <si>
    <t>Client 09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</si>
  <si>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</si>
  <si>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</si>
  <si>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</si>
  <si>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</si>
  <si>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</si>
  <si>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</si>
  <si>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</si>
  <si>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</si>
  <si>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</si>
  <si>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</si>
  <si>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</si>
  <si>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</si>
  <si>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</si>
  <si>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</si>
  <si>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</si>
  <si>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</si>
  <si>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</si>
  <si>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</si>
  <si>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</si>
  <si>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</si>
  <si>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</si>
  <si>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</si>
  <si>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</si>
  <si>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</si>
  <si>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</si>
  <si>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</si>
  <si>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depuis le</t>
  </si>
  <si>
    <t>Date du dernier achat</t>
  </si>
  <si>
    <t>Date de l’avant dernier achat</t>
  </si>
  <si>
    <t>Nombre de commande dans l’année 2025</t>
  </si>
  <si>
    <t>Récence</t>
  </si>
  <si>
    <t>Fréquence</t>
  </si>
  <si>
    <t>Montant</t>
  </si>
  <si>
    <t>1 300</t>
  </si>
  <si>
    <t>Panier moyen (€) en 2025</t>
  </si>
  <si>
    <t>Questions</t>
  </si>
  <si>
    <t>Réponses</t>
  </si>
  <si>
    <t>Document 1: Critères de notation selon le scoring RFM</t>
  </si>
  <si>
    <t>Score Total</t>
  </si>
  <si>
    <t>Fidélité depuis
 (en mois)</t>
  </si>
  <si>
    <t>Score</t>
  </si>
  <si>
    <t>Nombre de jours depuis le dernier achat</t>
  </si>
  <si>
    <t>Nombre de jours entre 2 achats</t>
  </si>
  <si>
    <t>Nombre d'achat dans l'année</t>
  </si>
  <si>
    <t>Montant des achats  de l'année</t>
  </si>
  <si>
    <t>panier moyen</t>
  </si>
  <si>
    <t>Loi de Pareto</t>
  </si>
  <si>
    <t>Méthode ABC</t>
  </si>
  <si>
    <t>CLIENTS</t>
  </si>
  <si>
    <t>CA €</t>
  </si>
  <si>
    <t>% Clients</t>
  </si>
  <si>
    <t>% cumulés Clients</t>
  </si>
  <si>
    <t>% CA</t>
  </si>
  <si>
    <t>% Cumulés CA</t>
  </si>
  <si>
    <t>Total</t>
  </si>
  <si>
    <t>Graphique</t>
  </si>
  <si>
    <t>Date</t>
  </si>
  <si>
    <t>Client since</t>
  </si>
  <si>
    <t>Last purchase date</t>
  </si>
  <si>
    <t>Before last purchase date</t>
  </si>
  <si>
    <t>Fidélité depuis
Loyalty (in months</t>
  </si>
  <si>
    <t>Recency</t>
  </si>
  <si>
    <t>Frequency</t>
  </si>
  <si>
    <t>Numbers of day since last purchase</t>
  </si>
  <si>
    <t>Numbers of day between two purchases</t>
  </si>
  <si>
    <t>Numbers of purchases in the year</t>
  </si>
  <si>
    <t>Value of all purchases of the year</t>
  </si>
  <si>
    <t>Average command</t>
  </si>
  <si>
    <t>Final Score</t>
  </si>
  <si>
    <t>Rating grid</t>
  </si>
  <si>
    <t>Amount</t>
  </si>
  <si>
    <t xml:space="preserve"> What client generated the most money in 2025</t>
  </si>
  <si>
    <t>Client 1 with a total of 31200 euros</t>
  </si>
  <si>
    <t>Which client made the most purchase in 2025</t>
  </si>
  <si>
    <t>Client 1   with  24 purchases in 2025</t>
  </si>
  <si>
    <t>Who's the most ancient client ?</t>
  </si>
  <si>
    <t>C'est le client 23 , he's a client since january 21 2020</t>
  </si>
  <si>
    <t>What client hasn't bought for the longest.</t>
  </si>
  <si>
    <t>It's client 2, he hasn't bought anything for 278 days</t>
  </si>
  <si>
    <t xml:space="preserve">According to the scoring </t>
  </si>
  <si>
    <t>What client(s) had the highest score</t>
  </si>
  <si>
    <t>Clients 1,30 and  33 who all have 31 points</t>
  </si>
  <si>
    <t>What client(s) had the worst score</t>
  </si>
  <si>
    <t>Client 8 with 11 points.</t>
  </si>
  <si>
    <t>Is Pareto's law applied?</t>
  </si>
  <si>
    <t>Pareto's lax isn't applied, 20% of the biggest clients are responsible for 87,5% of the revenue, while  80% of the clients are responsible for 12,5% of the total revenue.</t>
  </si>
  <si>
    <t xml:space="preserve">Since Pareto's law isn't applied, ABC method isn't either. The class A is too big, it's almost 90% of the total revenue which makes the compay too dependent on a small part of clients. It has to put in place measures so that class B and C spend more to balance and not being dependent on a very small part of the clients. </t>
  </si>
  <si>
    <t>Is method ABC applied?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</si>
</sst>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0" fillId="0" borderId="11" xfId="0" applyBorder="1"/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9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3" borderId="1" xfId="0" applyFill="1" applyBorder="1"/>
    <xf numFmtId="0" fontId="0" fillId="0" borderId="13" xfId="0" applyBorder="1"/>
    <xf numFmtId="0" fontId="0" fillId="3" borderId="10" xfId="0" applyFill="1" applyBorder="1"/>
    <xf numFmtId="0" fontId="0" fillId="3" borderId="4" xfId="0" applyFill="1" applyBorder="1"/>
    <xf numFmtId="0" fontId="0" fillId="3" borderId="8" xfId="0" applyFill="1" applyBorder="1"/>
    <xf numFmtId="0" fontId="0" fillId="3" borderId="12" xfId="0" applyFill="1" applyBorder="1"/>
    <xf numFmtId="0" fontId="0" fillId="3" borderId="9" xfId="0" applyFill="1" applyBorder="1"/>
    <xf numFmtId="0" fontId="0" fillId="3" borderId="6" xfId="0" applyFill="1" applyBorder="1"/>
    <xf numFmtId="0" fontId="9" fillId="7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0" fillId="10" borderId="1" xfId="0" applyFill="1" applyBorder="1"/>
    <xf numFmtId="1" fontId="0" fillId="10" borderId="1" xfId="0" applyNumberFormat="1" applyFill="1" applyBorder="1"/>
    <xf numFmtId="0" fontId="0" fillId="11" borderId="1" xfId="0" applyFill="1" applyBorder="1"/>
    <xf numFmtId="0" fontId="1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14" fontId="0" fillId="0" borderId="0" xfId="0" applyNumberFormat="1"/>
    <xf numFmtId="10" fontId="0" fillId="0" borderId="1" xfId="0" applyNumberFormat="1" applyBorder="1"/>
    <xf numFmtId="0" fontId="1" fillId="7" borderId="3" xfId="0" applyFont="1" applyFill="1" applyBorder="1" applyAlignment="1">
      <alignment horizontal="center" vertical="center"/>
    </xf>
    <xf numFmtId="0" fontId="0" fillId="7" borderId="1" xfId="0" applyFill="1" applyBorder="1"/>
    <xf numFmtId="10" fontId="0" fillId="7" borderId="1" xfId="0" applyNumberFormat="1" applyFill="1" applyBorder="1"/>
    <xf numFmtId="0" fontId="1" fillId="13" borderId="3" xfId="0" applyFont="1" applyFill="1" applyBorder="1" applyAlignment="1">
      <alignment horizontal="center" vertical="center"/>
    </xf>
    <xf numFmtId="0" fontId="0" fillId="13" borderId="1" xfId="0" applyFill="1" applyBorder="1"/>
    <xf numFmtId="10" fontId="0" fillId="13" borderId="1" xfId="0" applyNumberFormat="1" applyFill="1" applyBorder="1"/>
    <xf numFmtId="0" fontId="1" fillId="14" borderId="3" xfId="0" applyFont="1" applyFill="1" applyBorder="1" applyAlignment="1">
      <alignment horizontal="center" vertical="center"/>
    </xf>
    <xf numFmtId="0" fontId="0" fillId="14" borderId="1" xfId="0" applyFill="1" applyBorder="1"/>
    <xf numFmtId="10" fontId="0" fillId="14" borderId="1" xfId="0" applyNumberFormat="1" applyFill="1" applyBorder="1"/>
    <xf numFmtId="0" fontId="0" fillId="0" borderId="11" xfId="0" applyBorder="1" applyAlignment="1">
      <alignment wrapText="1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Cumulated</a:t>
            </a:r>
            <a:r>
              <a:rPr lang="en-US" baseline="0"/>
              <a:t> percentage of the revenue depending on the cumulated percentage of clients</a:t>
            </a:r>
            <a:endParaRPr lang="en-US"/>
          </a:p>
        </c:rich>
      </c:tx>
      <c:layout>
        <c:manualLayout>
          <c:xMode val="edge"/>
          <c:yMode val="edge"/>
          <c:x val="0.22253170261305114"/>
          <c:y val="1.9243987087436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'Loi Pareto'!$X$4</c:f>
              <c:strCache>
                <c:ptCount val="1"/>
                <c:pt idx="0">
                  <c:v>% Cumulés 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'Loi Pareto'!$W$5:$W$39</c:f>
              <c:numCache>
                <c:formatCode>0.00%</c:formatCode>
                <c:ptCount val="35"/>
                <c:pt idx="0">
                  <c:v>2.8571428571428571E-2</c:v>
                </c:pt>
                <c:pt idx="1">
                  <c:v>5.7142857142857141E-2</c:v>
                </c:pt>
                <c:pt idx="2">
                  <c:v>8.5714285714285715E-2</c:v>
                </c:pt>
                <c:pt idx="3">
                  <c:v>0.11428571428571428</c:v>
                </c:pt>
                <c:pt idx="4">
                  <c:v>0.14285714285714285</c:v>
                </c:pt>
                <c:pt idx="5">
                  <c:v>0.17142857142857143</c:v>
                </c:pt>
                <c:pt idx="6">
                  <c:v>0.2</c:v>
                </c:pt>
                <c:pt idx="7">
                  <c:v>0.22857142857142859</c:v>
                </c:pt>
                <c:pt idx="8">
                  <c:v>0.25714285714285717</c:v>
                </c:pt>
                <c:pt idx="9">
                  <c:v>0.28571428571428575</c:v>
                </c:pt>
                <c:pt idx="10">
                  <c:v>0.31428571428571433</c:v>
                </c:pt>
                <c:pt idx="11">
                  <c:v>0.34285714285714292</c:v>
                </c:pt>
                <c:pt idx="12">
                  <c:v>0.3714285714285715</c:v>
                </c:pt>
                <c:pt idx="13">
                  <c:v>0.40000000000000008</c:v>
                </c:pt>
                <c:pt idx="14">
                  <c:v>0.42857142857142866</c:v>
                </c:pt>
                <c:pt idx="15">
                  <c:v>0.45714285714285724</c:v>
                </c:pt>
                <c:pt idx="16">
                  <c:v>0.48571428571428582</c:v>
                </c:pt>
                <c:pt idx="17">
                  <c:v>0.51428571428571435</c:v>
                </c:pt>
                <c:pt idx="18">
                  <c:v>0.54285714285714293</c:v>
                </c:pt>
                <c:pt idx="19">
                  <c:v>0.57142857142857151</c:v>
                </c:pt>
                <c:pt idx="20">
                  <c:v>0.60000000000000009</c:v>
                </c:pt>
                <c:pt idx="21">
                  <c:v>0.62857142857142867</c:v>
                </c:pt>
                <c:pt idx="22">
                  <c:v>0.65714285714285725</c:v>
                </c:pt>
                <c:pt idx="23">
                  <c:v>0.68571428571428583</c:v>
                </c:pt>
                <c:pt idx="24">
                  <c:v>0.71428571428571441</c:v>
                </c:pt>
                <c:pt idx="25">
                  <c:v>0.74285714285714299</c:v>
                </c:pt>
                <c:pt idx="26">
                  <c:v>0.77142857142857157</c:v>
                </c:pt>
                <c:pt idx="27">
                  <c:v>0.80000000000000016</c:v>
                </c:pt>
                <c:pt idx="28">
                  <c:v>0.82857142857142874</c:v>
                </c:pt>
                <c:pt idx="29">
                  <c:v>0.85714285714285732</c:v>
                </c:pt>
                <c:pt idx="30">
                  <c:v>0.8857142857142859</c:v>
                </c:pt>
                <c:pt idx="31">
                  <c:v>0.91428571428571448</c:v>
                </c:pt>
                <c:pt idx="32">
                  <c:v>0.94285714285714306</c:v>
                </c:pt>
                <c:pt idx="33">
                  <c:v>0.97142857142857164</c:v>
                </c:pt>
                <c:pt idx="34">
                  <c:v>1.0000000000000002</c:v>
                </c:pt>
              </c:numCache>
            </c:numRef>
          </c:cat>
          <c:val>
            <c:numRef>
              <c:f>'Loi Pareto'!$X$5:$X$39</c:f>
              <c:numCache>
                <c:formatCode>0.00%</c:formatCode>
                <c:ptCount val="35"/>
                <c:pt idx="0">
                  <c:v>0.16621826802695719</c:v>
                </c:pt>
                <c:pt idx="1">
                  <c:v>0.31272475426866625</c:v>
                </c:pt>
                <c:pt idx="2">
                  <c:v>0.44697797075197782</c:v>
                </c:pt>
                <c:pt idx="3">
                  <c:v>0.56951066833595265</c:v>
                </c:pt>
                <c:pt idx="4">
                  <c:v>0.68085559787965155</c:v>
                </c:pt>
                <c:pt idx="5">
                  <c:v>0.78154551024213526</c:v>
                </c:pt>
                <c:pt idx="6">
                  <c:v>0.87211315628246444</c:v>
                </c:pt>
                <c:pt idx="7">
                  <c:v>0.88457952638448623</c:v>
                </c:pt>
                <c:pt idx="8">
                  <c:v>0.89544764390932574</c:v>
                </c:pt>
                <c:pt idx="9">
                  <c:v>0.90610266109054094</c:v>
                </c:pt>
                <c:pt idx="10">
                  <c:v>0.91523933832343296</c:v>
                </c:pt>
                <c:pt idx="11">
                  <c:v>0.92418955275565373</c:v>
                </c:pt>
                <c:pt idx="12">
                  <c:v>0.93170133986841042</c:v>
                </c:pt>
                <c:pt idx="13">
                  <c:v>0.93905330172344892</c:v>
                </c:pt>
                <c:pt idx="14">
                  <c:v>0.94624543832076913</c:v>
                </c:pt>
                <c:pt idx="15">
                  <c:v>0.95210569777043752</c:v>
                </c:pt>
                <c:pt idx="16">
                  <c:v>0.95783276950534069</c:v>
                </c:pt>
                <c:pt idx="17">
                  <c:v>0.96342665352547863</c:v>
                </c:pt>
                <c:pt idx="18">
                  <c:v>0.96779521056977691</c:v>
                </c:pt>
                <c:pt idx="19">
                  <c:v>0.97205721744226303</c:v>
                </c:pt>
                <c:pt idx="20">
                  <c:v>0.976212674142937</c:v>
                </c:pt>
                <c:pt idx="21">
                  <c:v>0.97924935403958335</c:v>
                </c:pt>
                <c:pt idx="22">
                  <c:v>0.98220612130737062</c:v>
                </c:pt>
                <c:pt idx="23">
                  <c:v>0.98508297594629868</c:v>
                </c:pt>
                <c:pt idx="24">
                  <c:v>0.98787991795636765</c:v>
                </c:pt>
                <c:pt idx="25">
                  <c:v>0.98969127087717423</c:v>
                </c:pt>
                <c:pt idx="26">
                  <c:v>0.9914493487120748</c:v>
                </c:pt>
                <c:pt idx="27">
                  <c:v>0.99315415146106922</c:v>
                </c:pt>
                <c:pt idx="28">
                  <c:v>0.99480567912415763</c:v>
                </c:pt>
                <c:pt idx="29">
                  <c:v>0.9964039317013399</c:v>
                </c:pt>
                <c:pt idx="30">
                  <c:v>0.99717642044697796</c:v>
                </c:pt>
                <c:pt idx="31">
                  <c:v>0.99792227164966307</c:v>
                </c:pt>
                <c:pt idx="32">
                  <c:v>0.99864148530939512</c:v>
                </c:pt>
                <c:pt idx="33">
                  <c:v>0.99933406142617409</c:v>
                </c:pt>
                <c:pt idx="3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1-46B0-8F49-003BAEF63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638400"/>
        <c:axId val="524639120"/>
      </c:lineChart>
      <c:catAx>
        <c:axId val="52463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/>
                  <a:t>Cumulated percentage</a:t>
                </a:r>
                <a:r>
                  <a:rPr lang="fr-FR" sz="1800" baseline="0"/>
                  <a:t> of clients</a:t>
                </a:r>
              </a:p>
              <a:p>
                <a:pPr>
                  <a:defRPr/>
                </a:pPr>
                <a:endParaRPr lang="fr-FR"/>
              </a:p>
            </c:rich>
          </c:tx>
          <c:layout>
            <c:manualLayout>
              <c:xMode val="edge"/>
              <c:yMode val="edge"/>
              <c:x val="0.4484266338048491"/>
              <c:y val="0.92608384559715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4639120"/>
        <c:crosses val="autoZero"/>
        <c:auto val="1"/>
        <c:lblAlgn val="ctr"/>
        <c:lblOffset val="100"/>
        <c:noMultiLvlLbl val="0"/>
      </c:catAx>
      <c:valAx>
        <c:axId val="52463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/>
                  <a:t>Cumulated percentage of the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463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Cumulated percentage of the revenue depending on the cumulated percentage of clients</a:t>
            </a:r>
          </a:p>
        </c:rich>
      </c:tx>
      <c:layout>
        <c:manualLayout>
          <c:xMode val="edge"/>
          <c:yMode val="edge"/>
          <c:x val="0.15153928405443207"/>
          <c:y val="1.2651468965050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'Méthode ABC'!$Y$3</c:f>
              <c:strCache>
                <c:ptCount val="1"/>
                <c:pt idx="0">
                  <c:v>% Cumulés 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'Méthode ABC'!$X$4:$X$38</c:f>
              <c:numCache>
                <c:formatCode>0.00%</c:formatCode>
                <c:ptCount val="35"/>
                <c:pt idx="0">
                  <c:v>2.8571428571428571E-2</c:v>
                </c:pt>
                <c:pt idx="1">
                  <c:v>5.7142857142857141E-2</c:v>
                </c:pt>
                <c:pt idx="2">
                  <c:v>8.5714285714285715E-2</c:v>
                </c:pt>
                <c:pt idx="3">
                  <c:v>0.11428571428571428</c:v>
                </c:pt>
                <c:pt idx="4">
                  <c:v>0.14285714285714285</c:v>
                </c:pt>
                <c:pt idx="5">
                  <c:v>0.17142857142857143</c:v>
                </c:pt>
                <c:pt idx="6">
                  <c:v>0.2</c:v>
                </c:pt>
                <c:pt idx="7">
                  <c:v>0.22857142857142859</c:v>
                </c:pt>
                <c:pt idx="8">
                  <c:v>0.25714285714285717</c:v>
                </c:pt>
                <c:pt idx="9">
                  <c:v>0.28571428571428575</c:v>
                </c:pt>
                <c:pt idx="10">
                  <c:v>0.31428571428571433</c:v>
                </c:pt>
                <c:pt idx="11">
                  <c:v>0.34285714285714292</c:v>
                </c:pt>
                <c:pt idx="12">
                  <c:v>0.3714285714285715</c:v>
                </c:pt>
                <c:pt idx="13">
                  <c:v>0.40000000000000008</c:v>
                </c:pt>
                <c:pt idx="14">
                  <c:v>0.42857142857142866</c:v>
                </c:pt>
                <c:pt idx="15">
                  <c:v>0.45714285714285724</c:v>
                </c:pt>
                <c:pt idx="16">
                  <c:v>0.48571428571428582</c:v>
                </c:pt>
                <c:pt idx="17">
                  <c:v>0.51428571428571435</c:v>
                </c:pt>
                <c:pt idx="18">
                  <c:v>0.54285714285714293</c:v>
                </c:pt>
                <c:pt idx="19">
                  <c:v>0.57142857142857151</c:v>
                </c:pt>
                <c:pt idx="20">
                  <c:v>0.60000000000000009</c:v>
                </c:pt>
                <c:pt idx="21">
                  <c:v>0.62857142857142867</c:v>
                </c:pt>
                <c:pt idx="22">
                  <c:v>0.65714285714285725</c:v>
                </c:pt>
                <c:pt idx="23">
                  <c:v>0.68571428571428583</c:v>
                </c:pt>
                <c:pt idx="24">
                  <c:v>0.71428571428571441</c:v>
                </c:pt>
                <c:pt idx="25">
                  <c:v>0.74285714285714299</c:v>
                </c:pt>
                <c:pt idx="26">
                  <c:v>0.77142857142857157</c:v>
                </c:pt>
                <c:pt idx="27">
                  <c:v>0.80000000000000016</c:v>
                </c:pt>
                <c:pt idx="28">
                  <c:v>0.82857142857142874</c:v>
                </c:pt>
                <c:pt idx="29">
                  <c:v>0.85714285714285732</c:v>
                </c:pt>
                <c:pt idx="30">
                  <c:v>0.8857142857142859</c:v>
                </c:pt>
                <c:pt idx="31">
                  <c:v>0.91428571428571448</c:v>
                </c:pt>
                <c:pt idx="32">
                  <c:v>0.94285714285714306</c:v>
                </c:pt>
                <c:pt idx="33">
                  <c:v>0.97142857142857164</c:v>
                </c:pt>
                <c:pt idx="34">
                  <c:v>1.0000000000000002</c:v>
                </c:pt>
              </c:numCache>
            </c:numRef>
          </c:cat>
          <c:val>
            <c:numRef>
              <c:f>'Méthode ABC'!$Y$4:$Y$38</c:f>
              <c:numCache>
                <c:formatCode>0.00%</c:formatCode>
                <c:ptCount val="35"/>
                <c:pt idx="0">
                  <c:v>0.16621826802695719</c:v>
                </c:pt>
                <c:pt idx="1">
                  <c:v>0.31272475426866625</c:v>
                </c:pt>
                <c:pt idx="2">
                  <c:v>0.44697797075197782</c:v>
                </c:pt>
                <c:pt idx="3">
                  <c:v>0.56951066833595265</c:v>
                </c:pt>
                <c:pt idx="4">
                  <c:v>0.68085559787965155</c:v>
                </c:pt>
                <c:pt idx="5">
                  <c:v>0.78154551024213526</c:v>
                </c:pt>
                <c:pt idx="6">
                  <c:v>0.87211315628246444</c:v>
                </c:pt>
                <c:pt idx="7">
                  <c:v>0.88457952638448623</c:v>
                </c:pt>
                <c:pt idx="8">
                  <c:v>0.89544764390932574</c:v>
                </c:pt>
                <c:pt idx="9">
                  <c:v>0.90610266109054094</c:v>
                </c:pt>
                <c:pt idx="10">
                  <c:v>0.91523933832343296</c:v>
                </c:pt>
                <c:pt idx="11">
                  <c:v>0.92418955275565373</c:v>
                </c:pt>
                <c:pt idx="12">
                  <c:v>0.93170133986841042</c:v>
                </c:pt>
                <c:pt idx="13">
                  <c:v>0.93905330172344892</c:v>
                </c:pt>
                <c:pt idx="14">
                  <c:v>0.94624543832076913</c:v>
                </c:pt>
                <c:pt idx="15">
                  <c:v>0.95210569777043752</c:v>
                </c:pt>
                <c:pt idx="16">
                  <c:v>0.95783276950534069</c:v>
                </c:pt>
                <c:pt idx="17">
                  <c:v>0.96342665352547863</c:v>
                </c:pt>
                <c:pt idx="18">
                  <c:v>0.96779521056977691</c:v>
                </c:pt>
                <c:pt idx="19">
                  <c:v>0.97205721744226303</c:v>
                </c:pt>
                <c:pt idx="20">
                  <c:v>0.976212674142937</c:v>
                </c:pt>
                <c:pt idx="21">
                  <c:v>0.97924935403958335</c:v>
                </c:pt>
                <c:pt idx="22">
                  <c:v>0.98220612130737062</c:v>
                </c:pt>
                <c:pt idx="23">
                  <c:v>0.98508297594629868</c:v>
                </c:pt>
                <c:pt idx="24">
                  <c:v>0.98787991795636765</c:v>
                </c:pt>
                <c:pt idx="25">
                  <c:v>0.98969127087717423</c:v>
                </c:pt>
                <c:pt idx="26">
                  <c:v>0.9914493487120748</c:v>
                </c:pt>
                <c:pt idx="27">
                  <c:v>0.99315415146106922</c:v>
                </c:pt>
                <c:pt idx="28">
                  <c:v>0.99480567912415763</c:v>
                </c:pt>
                <c:pt idx="29">
                  <c:v>0.9964039317013399</c:v>
                </c:pt>
                <c:pt idx="30">
                  <c:v>0.99717642044697796</c:v>
                </c:pt>
                <c:pt idx="31">
                  <c:v>0.99792227164966307</c:v>
                </c:pt>
                <c:pt idx="32">
                  <c:v>0.99864148530939512</c:v>
                </c:pt>
                <c:pt idx="33">
                  <c:v>0.99933406142617409</c:v>
                </c:pt>
                <c:pt idx="3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F-4DD4-8B60-B76D8E4F9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865392"/>
        <c:axId val="654864312"/>
      </c:lineChart>
      <c:catAx>
        <c:axId val="65486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/>
                  <a:t>Pourcentage</a:t>
                </a:r>
                <a:r>
                  <a:rPr lang="fr-FR" sz="1800" baseline="0"/>
                  <a:t> cumulés des clients</a:t>
                </a:r>
              </a:p>
              <a:p>
                <a:pPr>
                  <a:defRPr/>
                </a:pPr>
                <a:endParaRPr lang="fr-FR"/>
              </a:p>
            </c:rich>
          </c:tx>
          <c:layout>
            <c:manualLayout>
              <c:xMode val="edge"/>
              <c:yMode val="edge"/>
              <c:x val="0.43823027563785194"/>
              <c:y val="0.93587813812880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4864312"/>
        <c:crosses val="autoZero"/>
        <c:auto val="1"/>
        <c:lblAlgn val="ctr"/>
        <c:lblOffset val="100"/>
        <c:noMultiLvlLbl val="0"/>
      </c:catAx>
      <c:valAx>
        <c:axId val="65486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Cumulated percentage of the revenue </a:t>
                </a:r>
                <a:endParaRPr lang="fr-FR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486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24</xdr:col>
      <xdr:colOff>622705</xdr:colOff>
      <xdr:row>23</xdr:row>
      <xdr:rowOff>81681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85D0750-1131-C784-F1AA-355B8C8F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4798219"/>
          <a:ext cx="10528705" cy="1700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654842</xdr:colOff>
      <xdr:row>4</xdr:row>
      <xdr:rowOff>0</xdr:rowOff>
    </xdr:from>
    <xdr:to>
      <xdr:col>31</xdr:col>
      <xdr:colOff>514147</xdr:colOff>
      <xdr:row>12</xdr:row>
      <xdr:rowOff>83344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5AB6D9B-EDCA-4564-9E1A-7F34EBA8C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54373" y="1262063"/>
          <a:ext cx="10527305" cy="17025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217714</xdr:colOff>
      <xdr:row>3</xdr:row>
      <xdr:rowOff>149679</xdr:rowOff>
    </xdr:from>
    <xdr:to>
      <xdr:col>19</xdr:col>
      <xdr:colOff>734785</xdr:colOff>
      <xdr:row>33</xdr:row>
      <xdr:rowOff>108857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E774B10-8135-E8A9-6138-033F2A276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0.10411</cdr:x>
      <cdr:y>0.33814</cdr:y>
    </cdr:from>
    <cdr:to>
      <cdr:x>0.23607</cdr:x>
      <cdr:y>0.76289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05F174A-F92B-C9E6-1B1B-6D7D35080227}"/>
            </a:ext>
          </a:extLst>
        </cdr:cNvPr>
        <cdr:cNvSpPr/>
      </cdr:nvSpPr>
      <cdr:spPr>
        <a:xfrm xmlns:a="http://schemas.openxmlformats.org/drawingml/2006/main">
          <a:off x="966107" y="2231571"/>
          <a:ext cx="1224643" cy="280307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60000"/>
            <a:lumOff val="40000"/>
            <a:alpha val="67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  <cdr:relSizeAnchor xmlns:cdr="http://schemas.openxmlformats.org/drawingml/2006/chartDrawing">
    <cdr:from>
      <cdr:x>0.23754</cdr:x>
      <cdr:y>0.20206</cdr:y>
    </cdr:from>
    <cdr:to>
      <cdr:x>0.97507</cdr:x>
      <cdr:y>0.33196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B0E7609-46B5-C498-8F20-64F3D7A50591}"/>
            </a:ext>
          </a:extLst>
        </cdr:cNvPr>
        <cdr:cNvSpPr/>
      </cdr:nvSpPr>
      <cdr:spPr>
        <a:xfrm xmlns:a="http://schemas.openxmlformats.org/drawingml/2006/main">
          <a:off x="2204357" y="1333500"/>
          <a:ext cx="6844393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00B050">
            <a:alpha val="67000"/>
          </a:srgb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242455</xdr:colOff>
      <xdr:row>4</xdr:row>
      <xdr:rowOff>51954</xdr:rowOff>
    </xdr:from>
    <xdr:to>
      <xdr:col>19</xdr:col>
      <xdr:colOff>710045</xdr:colOff>
      <xdr:row>33</xdr:row>
      <xdr:rowOff>155862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71375FC-BD0A-5BA3-60F9-BBC339EF9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0.10198</cdr:x>
      <cdr:y>0.33251</cdr:y>
    </cdr:from>
    <cdr:to>
      <cdr:x>0.23908</cdr:x>
      <cdr:y>0.73465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A2245BD-F801-3480-ED56-9D44EE1DA6D0}"/>
            </a:ext>
          </a:extLst>
        </cdr:cNvPr>
        <cdr:cNvSpPr/>
      </cdr:nvSpPr>
      <cdr:spPr>
        <a:xfrm xmlns:a="http://schemas.openxmlformats.org/drawingml/2006/main">
          <a:off x="941366" y="2002725"/>
          <a:ext cx="1265465" cy="242207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40000"/>
            <a:lumOff val="60000"/>
            <a:alpha val="67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  <cdr:relSizeAnchor xmlns:cdr="http://schemas.openxmlformats.org/drawingml/2006/chartDrawing">
    <cdr:from>
      <cdr:x>0.23908</cdr:x>
      <cdr:y>0.24666</cdr:y>
    </cdr:from>
    <cdr:to>
      <cdr:x>0.53096</cdr:x>
      <cdr:y>0.33477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5B723AB-867A-0898-F69C-7B3615062BA6}"/>
            </a:ext>
          </a:extLst>
        </cdr:cNvPr>
        <cdr:cNvSpPr/>
      </cdr:nvSpPr>
      <cdr:spPr>
        <a:xfrm xmlns:a="http://schemas.openxmlformats.org/drawingml/2006/main">
          <a:off x="2206831" y="1485654"/>
          <a:ext cx="2694214" cy="530678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67000"/>
          </a:srgb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  <cdr:relSizeAnchor xmlns:cdr="http://schemas.openxmlformats.org/drawingml/2006/chartDrawing">
    <cdr:from>
      <cdr:x>0.53243</cdr:x>
      <cdr:y>0.20374</cdr:y>
    </cdr:from>
    <cdr:to>
      <cdr:x>0.97467</cdr:x>
      <cdr:y>0.25118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D8A95995-984C-7AAD-2C97-E15303C55133}"/>
            </a:ext>
          </a:extLst>
        </cdr:cNvPr>
        <cdr:cNvSpPr/>
      </cdr:nvSpPr>
      <cdr:spPr>
        <a:xfrm xmlns:a="http://schemas.openxmlformats.org/drawingml/2006/main">
          <a:off x="4914652" y="1227118"/>
          <a:ext cx="4082143" cy="285750"/>
        </a:xfrm>
        <a:prstGeom xmlns:a="http://schemas.openxmlformats.org/drawingml/2006/main" prst="rect">
          <a:avLst/>
        </a:prstGeom>
        <a:solidFill xmlns:a="http://schemas.openxmlformats.org/drawingml/2006/main">
          <a:srgbClr val="00B050">
            <a:alpha val="67000"/>
          </a:srgb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</c:userShape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1E7E-98A7-44B9-BD12-4F437EE170FB}">
  <dimension ref="A2:S41"/>
  <sheetViews>
    <sheetView topLeftCell="A2" zoomScale="80" zoomScaleNormal="80" workbookViewId="0">
      <selection activeCell="A3" sqref="A3:B3"/>
    </sheetView>
  </sheetViews>
  <sheetFormatPr baseColWidth="10" defaultRowHeight="15" x14ac:dyDescent="0.25"/>
  <sheetData>
    <row r="2" spans="1:19" ht="15.75" thickBot="1" x14ac:dyDescent="0.3">
      <c r="J2" s="53">
        <v>46062</v>
      </c>
    </row>
    <row r="3" spans="1:19" ht="95.25" thickBot="1" x14ac:dyDescent="0.3">
      <c r="A3" s="1" t="s">
        <v>0</v>
      </c>
      <c r="B3" s="3" t="s">
        <v>44</v>
      </c>
      <c r="C3" s="4" t="s">
        <v>36</v>
      </c>
      <c r="D3" s="4" t="s">
        <v>39</v>
      </c>
      <c r="E3" s="4" t="s">
        <v>37</v>
      </c>
      <c r="F3" s="4" t="s">
        <v>38</v>
      </c>
      <c r="G3" s="65" t="s">
        <v>40</v>
      </c>
      <c r="H3" s="66"/>
      <c r="I3" s="66"/>
      <c r="J3" s="67"/>
      <c r="K3" s="68" t="s">
        <v>41</v>
      </c>
      <c r="L3" s="69"/>
      <c r="M3" s="69"/>
      <c r="N3" s="70"/>
      <c r="O3" s="71" t="s">
        <v>42</v>
      </c>
      <c r="P3" s="72"/>
      <c r="Q3" s="72"/>
      <c r="R3" s="73"/>
      <c r="S3" s="74" t="s">
        <v>48</v>
      </c>
    </row>
    <row r="4" spans="1:19" ht="15.75" thickBot="1" x14ac:dyDescent="0.3">
      <c r="A4" s="2" t="s">
        <v>1</v>
      </c>
      <c r="B4" s="5" t="s">
        <v>43</v>
      </c>
      <c r="C4" s="6">
        <v>43869</v>
      </c>
      <c r="D4" s="5">
        <v>24</v>
      </c>
      <c r="E4" s="6">
        <v>46003</v>
      </c>
      <c r="F4" s="8">
        <v>45818</v>
      </c>
      <c r="G4" s="41"/>
      <c r="H4" s="41"/>
      <c r="I4" s="41"/>
      <c r="J4" s="42"/>
      <c r="K4" s="43"/>
      <c r="L4" s="43"/>
      <c r="M4" s="43"/>
      <c r="N4" s="44"/>
      <c r="O4" s="45"/>
      <c r="P4" s="46"/>
      <c r="Q4" s="46"/>
      <c r="R4" s="47"/>
      <c r="S4" s="75"/>
    </row>
    <row r="5" spans="1:19" ht="15.75" thickBot="1" x14ac:dyDescent="0.3">
      <c r="A5" s="2" t="s">
        <v>2</v>
      </c>
      <c r="B5" s="5">
        <v>145</v>
      </c>
      <c r="C5" s="6">
        <v>43854</v>
      </c>
      <c r="D5" s="5">
        <v>1</v>
      </c>
      <c r="E5" s="6">
        <v>45784</v>
      </c>
      <c r="F5" s="6">
        <v>45784</v>
      </c>
      <c r="G5" s="41"/>
      <c r="H5" s="41"/>
      <c r="I5" s="41"/>
      <c r="J5" s="42"/>
      <c r="K5" s="43"/>
      <c r="L5" s="43"/>
      <c r="M5" s="43"/>
      <c r="N5" s="44"/>
      <c r="O5" s="45"/>
      <c r="P5" s="46"/>
      <c r="Q5" s="46"/>
      <c r="R5" s="47"/>
      <c r="S5" s="75"/>
    </row>
    <row r="6" spans="1:19" ht="75.75" thickBot="1" x14ac:dyDescent="0.3">
      <c r="A6" s="2" t="s">
        <v>3</v>
      </c>
      <c r="B6" s="5">
        <v>170</v>
      </c>
      <c r="C6" s="6">
        <v>44136</v>
      </c>
      <c r="D6" s="5">
        <v>2</v>
      </c>
      <c r="E6" s="6">
        <v>45823</v>
      </c>
      <c r="F6" s="6">
        <v>45755</v>
      </c>
      <c r="G6" s="26" t="s">
        <v>49</v>
      </c>
      <c r="H6" s="26" t="s">
        <v>50</v>
      </c>
      <c r="I6" s="26" t="s">
        <v>51</v>
      </c>
      <c r="J6" s="26" t="s">
        <v>50</v>
      </c>
      <c r="K6" s="27" t="s">
        <v>52</v>
      </c>
      <c r="L6" s="27" t="s">
        <v>50</v>
      </c>
      <c r="M6" s="28" t="s">
        <v>53</v>
      </c>
      <c r="N6" s="28" t="s">
        <v>50</v>
      </c>
      <c r="O6" s="29" t="s">
        <v>54</v>
      </c>
      <c r="P6" s="29" t="s">
        <v>50</v>
      </c>
      <c r="Q6" s="29" t="s">
        <v>55</v>
      </c>
      <c r="R6" s="29" t="s">
        <v>50</v>
      </c>
      <c r="S6" s="76"/>
    </row>
    <row r="7" spans="1:19" ht="15.75" thickBot="1" x14ac:dyDescent="0.3">
      <c r="A7" s="2" t="s">
        <v>4</v>
      </c>
      <c r="B7" s="5">
        <v>140</v>
      </c>
      <c r="C7" s="6">
        <v>45021</v>
      </c>
      <c r="D7" s="5">
        <v>1</v>
      </c>
      <c r="E7" s="6">
        <v>45826</v>
      </c>
      <c r="F7" s="6">
        <v>45826</v>
      </c>
      <c r="G7" s="48">
        <f>DATEDIF(C7,$J$2,"M")</f>
        <v>34</v>
      </c>
      <c r="H7" s="49" cm="1">
        <f t="array" ref="H7">_xlfn.SWITCH(
    TRUE,
    G7&lt;6,1,
    G7&lt;13,2,
    G7&lt;25,3,
    G7&lt;37,4,
    G7&lt;48,5, G7 &gt;48,6
)</f>
        <v>4</v>
      </c>
      <c r="I7" s="48">
        <f>DATEDIF(F7,$J$2,"d")</f>
        <v>236</v>
      </c>
      <c r="J7" s="48" cm="1">
        <f t="array" ref="J7">_xlfn.SWITCH(
    TRUE,
    I7&lt;30,8,
    I7&lt;91,6,
    I7&lt;121,5,
    I7&lt;181,4,
    I7&lt;241,2, I7 &gt;240
)</f>
        <v>2</v>
      </c>
      <c r="K7" s="50">
        <f>DATEDIF(E7,F7,"d")</f>
        <v>0</v>
      </c>
      <c r="L7" s="50" cm="1">
        <f t="array" ref="L7">_xlfn.SWITCH(
    TRUE,
    K7&lt;15,8,
    K7&lt;31,6,
    K7&lt;61,4,
    K7&lt;91,2,
    K7&gt;120,1, K7&lt;120,0
)</f>
        <v>8</v>
      </c>
      <c r="M7" s="50">
        <v>7</v>
      </c>
      <c r="N7" s="50" cm="1">
        <f t="array" ref="N7">_xlfn.SWITCH(
TRUE,M7&lt;5,1, M7&lt;11,2, M7 &lt;16,3, M7 &lt;21, 5, M7 &gt;25,6
)</f>
        <v>2</v>
      </c>
      <c r="O7" s="51">
        <v>12580</v>
      </c>
      <c r="P7" s="52" cm="1">
        <f t="array" ref="P7">_xlfn.SWITCH(
TRUE,
O7&lt;6000,1,
O7&lt;7501,2,
O7&lt;12001,3,
O7&lt;16001,5, O7&gt;20000,6
)</f>
        <v>5</v>
      </c>
      <c r="Q7" s="52">
        <v>1797.1428571428571</v>
      </c>
      <c r="R7" s="52" cm="1">
        <f t="array" ref="R7">_xlfn.SWITCH(
    TRUE,
    Q7&lt;150,1,
    Q7&lt;301,2,
    Q7&lt;501,3,
    Q7&lt;801,4,
    Q7&gt;1101,6, Q7&gt;1100
)</f>
        <v>6</v>
      </c>
      <c r="S7" s="25">
        <f>R7+P7+N7+L7+J7+H7</f>
        <v>27</v>
      </c>
    </row>
    <row r="8" spans="1:19" ht="15.75" thickBot="1" x14ac:dyDescent="0.3">
      <c r="A8" s="2" t="s">
        <v>5</v>
      </c>
      <c r="B8" s="5">
        <v>190</v>
      </c>
      <c r="C8" s="6">
        <v>43915</v>
      </c>
      <c r="D8" s="5">
        <v>3</v>
      </c>
      <c r="E8" s="6">
        <v>45838</v>
      </c>
      <c r="F8" s="6">
        <v>45725</v>
      </c>
      <c r="G8" s="48">
        <f t="shared" ref="G8:G38" si="0">DATEDIF(C8,$J$2,"M")</f>
        <v>70</v>
      </c>
      <c r="H8" s="49" cm="1">
        <f t="array" ref="H8">_xlfn.SWITCH(
    TRUE,
    G8&lt;6,1,
    G8&lt;13,2,
    G8&lt;25,3,
    G8&lt;37,4,
    G8&lt;48,5, G8 &gt;48,6
)</f>
        <v>6</v>
      </c>
      <c r="L8" s="7"/>
    </row>
    <row r="9" spans="1:19" ht="15.75" thickBot="1" x14ac:dyDescent="0.3">
      <c r="A9" s="2" t="s">
        <v>6</v>
      </c>
      <c r="B9" s="5">
        <v>155</v>
      </c>
      <c r="C9" s="6">
        <v>44415</v>
      </c>
      <c r="D9" s="5">
        <v>2</v>
      </c>
      <c r="E9" s="6">
        <v>45839</v>
      </c>
      <c r="F9" s="6">
        <v>45738</v>
      </c>
      <c r="G9" s="48">
        <f t="shared" si="0"/>
        <v>54</v>
      </c>
      <c r="H9" s="49" cm="1">
        <f t="array" ref="H9">_xlfn.SWITCH(
    TRUE,
    G9&lt;6,1,
    G9&lt;13,2,
    G9&lt;25,3,
    G9&lt;37,4,
    G9&lt;48,5, G9 &gt;48,6
)</f>
        <v>6</v>
      </c>
      <c r="L9" s="7"/>
    </row>
    <row r="10" spans="1:19" ht="15.75" thickBot="1" x14ac:dyDescent="0.3">
      <c r="A10" s="2" t="s">
        <v>7</v>
      </c>
      <c r="B10" s="5">
        <v>210</v>
      </c>
      <c r="C10" s="6">
        <v>43870</v>
      </c>
      <c r="D10" s="5">
        <v>5</v>
      </c>
      <c r="E10" s="6">
        <v>45855</v>
      </c>
      <c r="F10" s="6">
        <v>45737</v>
      </c>
      <c r="G10" s="48">
        <f t="shared" si="0"/>
        <v>72</v>
      </c>
      <c r="H10" s="49" cm="1">
        <f t="array" ref="H10">_xlfn.SWITCH(
    TRUE,
    G10&lt;6,1,
    G10&lt;13,2,
    G10&lt;25,3,
    G10&lt;37,4,
    G10&lt;48,5, G10 &gt;48,6
)</f>
        <v>6</v>
      </c>
      <c r="L10" s="7"/>
    </row>
    <row r="11" spans="1:19" ht="15.75" thickBot="1" x14ac:dyDescent="0.3">
      <c r="A11" s="2" t="s">
        <v>8</v>
      </c>
      <c r="B11" s="5">
        <v>175</v>
      </c>
      <c r="C11" s="6">
        <v>44824</v>
      </c>
      <c r="D11" s="5">
        <v>3</v>
      </c>
      <c r="E11" s="6">
        <v>45857</v>
      </c>
      <c r="F11" s="6">
        <v>45733</v>
      </c>
      <c r="G11" s="48">
        <f t="shared" si="0"/>
        <v>40</v>
      </c>
      <c r="H11" s="49" cm="1">
        <f t="array" ref="H11">_xlfn.SWITCH(
    TRUE,
    G11&lt;6,1,
    G11&lt;13,2,
    G11&lt;25,3,
    G11&lt;37,4,
    G11&lt;48,5, G11 &gt;48,6
)</f>
        <v>5</v>
      </c>
      <c r="L11" s="7"/>
    </row>
    <row r="12" spans="1:19" ht="15.75" thickBot="1" x14ac:dyDescent="0.3">
      <c r="A12" s="2" t="s">
        <v>9</v>
      </c>
      <c r="B12" s="5">
        <v>135</v>
      </c>
      <c r="C12" s="6">
        <v>45549</v>
      </c>
      <c r="D12" s="5">
        <v>1</v>
      </c>
      <c r="E12" s="6">
        <v>45867</v>
      </c>
      <c r="F12" s="6">
        <v>45867</v>
      </c>
      <c r="G12" s="48">
        <f t="shared" si="0"/>
        <v>16</v>
      </c>
      <c r="H12" s="49" cm="1">
        <f t="array" ref="H12">_xlfn.SWITCH(
    TRUE,
    G12&lt;6,1,
    G12&lt;13,2,
    G12&lt;25,3,
    G12&lt;37,4,
    G12&lt;48,5, G12 &gt;48,6
)</f>
        <v>3</v>
      </c>
      <c r="L12" s="7"/>
    </row>
    <row r="13" spans="1:19" ht="15.75" thickBot="1" x14ac:dyDescent="0.3">
      <c r="A13" s="2" t="s">
        <v>10</v>
      </c>
      <c r="B13" s="5">
        <v>130</v>
      </c>
      <c r="C13" s="6">
        <v>44255</v>
      </c>
      <c r="D13" s="5">
        <v>1</v>
      </c>
      <c r="E13" s="6">
        <v>45872</v>
      </c>
      <c r="F13" s="6">
        <v>45872</v>
      </c>
      <c r="G13" s="48">
        <f t="shared" si="0"/>
        <v>59</v>
      </c>
      <c r="H13" s="49" cm="1">
        <f t="array" ref="H13">_xlfn.SWITCH(
    TRUE,
    G13&lt;6,1,
    G13&lt;13,2,
    G13&lt;25,3,
    G13&lt;37,4,
    G13&lt;48,5, G13 &gt;48,6
)</f>
        <v>6</v>
      </c>
      <c r="L13" s="7"/>
    </row>
    <row r="14" spans="1:19" ht="15.75" thickBot="1" x14ac:dyDescent="0.3">
      <c r="A14" s="2" t="s">
        <v>11</v>
      </c>
      <c r="B14" s="5">
        <v>235</v>
      </c>
      <c r="C14" s="6">
        <v>44097</v>
      </c>
      <c r="D14" s="5">
        <v>6</v>
      </c>
      <c r="E14" s="6">
        <v>45875</v>
      </c>
      <c r="F14" s="6">
        <v>45758</v>
      </c>
      <c r="G14" s="48">
        <f t="shared" si="0"/>
        <v>64</v>
      </c>
      <c r="H14" s="49" cm="1">
        <f t="array" ref="H14">_xlfn.SWITCH(
    TRUE,
    G14&lt;6,1,
    G14&lt;13,2,
    G14&lt;25,3,
    G14&lt;37,4,
    G14&lt;48,5, G14 &gt;48,6
)</f>
        <v>6</v>
      </c>
      <c r="L14" s="7"/>
    </row>
    <row r="15" spans="1:19" ht="15.75" thickBot="1" x14ac:dyDescent="0.3">
      <c r="A15" s="2" t="s">
        <v>12</v>
      </c>
      <c r="B15" s="5">
        <v>185</v>
      </c>
      <c r="C15" s="6">
        <v>44393</v>
      </c>
      <c r="D15" s="5">
        <v>3</v>
      </c>
      <c r="E15" s="6">
        <v>45880</v>
      </c>
      <c r="F15" s="6">
        <v>45765</v>
      </c>
      <c r="G15" s="48">
        <f t="shared" si="0"/>
        <v>54</v>
      </c>
      <c r="H15" s="49" cm="1">
        <f t="array" ref="H15">_xlfn.SWITCH(
    TRUE,
    G15&lt;6,1,
    G15&lt;13,2,
    G15&lt;25,3,
    G15&lt;37,4,
    G15&lt;48,5, G15 &gt;48,6
)</f>
        <v>6</v>
      </c>
      <c r="L15" s="7"/>
    </row>
    <row r="16" spans="1:19" ht="15.75" thickBot="1" x14ac:dyDescent="0.3">
      <c r="A16" s="2" t="s">
        <v>13</v>
      </c>
      <c r="B16" s="5">
        <v>150</v>
      </c>
      <c r="C16" s="6">
        <v>44907</v>
      </c>
      <c r="D16" s="5">
        <v>2</v>
      </c>
      <c r="E16" s="6">
        <v>45889</v>
      </c>
      <c r="F16" s="6">
        <v>45763</v>
      </c>
      <c r="G16" s="48">
        <f t="shared" si="0"/>
        <v>37</v>
      </c>
      <c r="H16" s="49" cm="1">
        <f t="array" ref="H16">_xlfn.SWITCH(
    TRUE,
    G16&lt;6,1,
    G16&lt;13,2,
    G16&lt;25,3,
    G16&lt;37,4,
    G16&lt;48,5, G16 &gt;48,6
)</f>
        <v>5</v>
      </c>
      <c r="L16" s="7"/>
    </row>
    <row r="17" spans="1:12" ht="15.75" thickBot="1" x14ac:dyDescent="0.3">
      <c r="A17" s="2" t="s">
        <v>14</v>
      </c>
      <c r="B17" s="5">
        <v>165</v>
      </c>
      <c r="C17" s="6">
        <v>45095</v>
      </c>
      <c r="D17" s="5">
        <v>2</v>
      </c>
      <c r="E17" s="6">
        <v>45909</v>
      </c>
      <c r="F17" s="6">
        <v>45789</v>
      </c>
      <c r="G17" s="48">
        <f t="shared" si="0"/>
        <v>31</v>
      </c>
      <c r="H17" s="49" cm="1">
        <f t="array" ref="H17">_xlfn.SWITCH(
    TRUE,
    G17&lt;6,1,
    G17&lt;13,2,
    G17&lt;25,3,
    G17&lt;37,4,
    G17&lt;48,5, G17 &gt;48,6
)</f>
        <v>4</v>
      </c>
      <c r="L17" s="7"/>
    </row>
    <row r="18" spans="1:12" ht="15.75" thickBot="1" x14ac:dyDescent="0.3">
      <c r="A18" s="2" t="s">
        <v>15</v>
      </c>
      <c r="B18" s="5">
        <v>255</v>
      </c>
      <c r="C18" s="6">
        <v>44654</v>
      </c>
      <c r="D18" s="5">
        <v>8</v>
      </c>
      <c r="E18" s="6">
        <v>45914</v>
      </c>
      <c r="F18" s="6">
        <v>45795</v>
      </c>
      <c r="G18" s="48">
        <f t="shared" si="0"/>
        <v>46</v>
      </c>
      <c r="H18" s="49" cm="1">
        <f t="array" ref="H18">_xlfn.SWITCH(
    TRUE,
    G18&lt;6,1,
    G18&lt;13,2,
    G18&lt;25,3,
    G18&lt;37,4,
    G18&lt;48,5, G18 &gt;48,6
)</f>
        <v>5</v>
      </c>
      <c r="L18" s="7"/>
    </row>
    <row r="19" spans="1:12" ht="15.75" thickBot="1" x14ac:dyDescent="0.3">
      <c r="A19" s="2" t="s">
        <v>16</v>
      </c>
      <c r="B19" s="5">
        <v>125</v>
      </c>
      <c r="C19" s="6">
        <v>44742</v>
      </c>
      <c r="D19" s="5">
        <v>1</v>
      </c>
      <c r="E19" s="6">
        <v>45914</v>
      </c>
      <c r="F19" s="6">
        <v>45914</v>
      </c>
      <c r="G19" s="48">
        <f t="shared" si="0"/>
        <v>43</v>
      </c>
      <c r="H19" s="49" cm="1">
        <f t="array" ref="H19">_xlfn.SWITCH(
    TRUE,
    G19&lt;6,1,
    G19&lt;13,2,
    G19&lt;25,3,
    G19&lt;37,4,
    G19&lt;48,5, G19 &gt;48,6
)</f>
        <v>5</v>
      </c>
      <c r="L19" s="7"/>
    </row>
    <row r="20" spans="1:12" ht="15.75" thickBot="1" x14ac:dyDescent="0.3">
      <c r="A20" s="2" t="s">
        <v>17</v>
      </c>
      <c r="B20" s="5">
        <v>230</v>
      </c>
      <c r="C20" s="6">
        <v>44744</v>
      </c>
      <c r="D20" s="5">
        <v>6</v>
      </c>
      <c r="E20" s="6">
        <v>45919</v>
      </c>
      <c r="F20" s="6">
        <v>45738</v>
      </c>
      <c r="G20" s="48">
        <f t="shared" si="0"/>
        <v>43</v>
      </c>
      <c r="H20" s="49" cm="1">
        <f t="array" ref="H20">_xlfn.SWITCH(
    TRUE,
    G20&lt;6,1,
    G20&lt;13,2,
    G20&lt;25,3,
    G20&lt;37,4,
    G20&lt;48,5, G20 &gt;48,6
)</f>
        <v>5</v>
      </c>
      <c r="L20" s="7"/>
    </row>
    <row r="21" spans="1:12" ht="15.75" thickBot="1" x14ac:dyDescent="0.3">
      <c r="A21" s="2" t="s">
        <v>18</v>
      </c>
      <c r="B21" s="5">
        <v>220</v>
      </c>
      <c r="C21" s="6">
        <v>45033</v>
      </c>
      <c r="D21" s="5">
        <v>5</v>
      </c>
      <c r="E21" s="6">
        <v>45920</v>
      </c>
      <c r="F21" s="6">
        <v>45782</v>
      </c>
      <c r="G21" s="48">
        <f t="shared" si="0"/>
        <v>33</v>
      </c>
      <c r="H21" s="49" cm="1">
        <f t="array" ref="H21">_xlfn.SWITCH(
    TRUE,
    G21&lt;6,1,
    G21&lt;13,2,
    G21&lt;25,3,
    G21&lt;37,4,
    G21&lt;48,5, G21 &gt;48,6
)</f>
        <v>4</v>
      </c>
      <c r="L21" s="7"/>
    </row>
    <row r="22" spans="1:12" ht="15.75" thickBot="1" x14ac:dyDescent="0.3">
      <c r="A22" s="2" t="s">
        <v>19</v>
      </c>
      <c r="B22" s="5">
        <v>205</v>
      </c>
      <c r="C22" s="6">
        <v>44528</v>
      </c>
      <c r="D22" s="5">
        <v>4</v>
      </c>
      <c r="E22" s="6">
        <v>45923</v>
      </c>
      <c r="F22" s="6">
        <v>45761</v>
      </c>
      <c r="G22" s="48">
        <f t="shared" si="0"/>
        <v>50</v>
      </c>
      <c r="H22" s="49" cm="1">
        <f t="array" ref="H22">_xlfn.SWITCH(
    TRUE,
    G22&lt;6,1,
    G22&lt;13,2,
    G22&lt;25,3,
    G22&lt;37,4,
    G22&lt;48,5, G22 &gt;48,6
)</f>
        <v>6</v>
      </c>
      <c r="L22" s="7"/>
    </row>
    <row r="23" spans="1:12" ht="15.75" thickBot="1" x14ac:dyDescent="0.3">
      <c r="A23" s="2" t="s">
        <v>20</v>
      </c>
      <c r="B23" s="5">
        <v>160</v>
      </c>
      <c r="C23" s="6">
        <v>45348</v>
      </c>
      <c r="D23" s="5">
        <v>2</v>
      </c>
      <c r="E23" s="6">
        <v>45943</v>
      </c>
      <c r="F23" s="6">
        <v>45812</v>
      </c>
      <c r="G23" s="48">
        <f t="shared" si="0"/>
        <v>23</v>
      </c>
      <c r="H23" s="49" cm="1">
        <f t="array" ref="H23">_xlfn.SWITCH(
    TRUE,
    G23&lt;6,1,
    G23&lt;13,2,
    G23&lt;25,3,
    G23&lt;37,4,
    G23&lt;48,5, G23 &gt;48,6
)</f>
        <v>3</v>
      </c>
      <c r="L23" s="7"/>
    </row>
    <row r="24" spans="1:12" ht="15.75" thickBot="1" x14ac:dyDescent="0.3">
      <c r="A24" s="2" t="s">
        <v>21</v>
      </c>
      <c r="B24" s="5">
        <v>225</v>
      </c>
      <c r="C24" s="6">
        <v>44202</v>
      </c>
      <c r="D24" s="5">
        <v>6</v>
      </c>
      <c r="E24" s="6">
        <v>45945</v>
      </c>
      <c r="F24" s="6">
        <v>45777</v>
      </c>
      <c r="G24" s="48">
        <f t="shared" si="0"/>
        <v>61</v>
      </c>
      <c r="H24" s="49" cm="1">
        <f t="array" ref="H24">_xlfn.SWITCH(
    TRUE,
    G24&lt;6,1,
    G24&lt;13,2,
    G24&lt;25,3,
    G24&lt;37,4,
    G24&lt;48,5, G24 &gt;48,6
)</f>
        <v>6</v>
      </c>
      <c r="L24" s="7"/>
    </row>
    <row r="25" spans="1:12" ht="15.75" thickBot="1" x14ac:dyDescent="0.3">
      <c r="A25" s="2" t="s">
        <v>22</v>
      </c>
      <c r="B25" s="5">
        <v>180</v>
      </c>
      <c r="C25" s="6">
        <v>45300</v>
      </c>
      <c r="D25" s="5">
        <v>3</v>
      </c>
      <c r="E25" s="6">
        <v>45952</v>
      </c>
      <c r="F25" s="6">
        <v>45779</v>
      </c>
      <c r="G25" s="48">
        <f t="shared" si="0"/>
        <v>25</v>
      </c>
      <c r="H25" s="49" cm="1">
        <f t="array" ref="H25">_xlfn.SWITCH(
    TRUE,
    G25&lt;6,1,
    G25&lt;13,2,
    G25&lt;25,3,
    G25&lt;37,4,
    G25&lt;48,5, G25 &gt;48,6
)</f>
        <v>4</v>
      </c>
      <c r="L25" s="7"/>
    </row>
    <row r="26" spans="1:12" ht="15.75" thickBot="1" x14ac:dyDescent="0.3">
      <c r="A26" s="2" t="s">
        <v>23</v>
      </c>
      <c r="B26" s="5">
        <v>260</v>
      </c>
      <c r="C26" s="6">
        <v>43851</v>
      </c>
      <c r="D26" s="5">
        <v>9</v>
      </c>
      <c r="E26" s="6">
        <v>45955</v>
      </c>
      <c r="F26" s="6">
        <v>45818</v>
      </c>
      <c r="G26" s="48">
        <f t="shared" si="0"/>
        <v>72</v>
      </c>
      <c r="H26" s="49" cm="1">
        <f t="array" ref="H26">_xlfn.SWITCH(
    TRUE,
    G26&lt;6,1,
    G26&lt;13,2,
    G26&lt;25,3,
    G26&lt;37,4,
    G26&lt;48,5, G26 &gt;48,6
)</f>
        <v>6</v>
      </c>
      <c r="L26" s="7"/>
    </row>
    <row r="27" spans="1:12" ht="15.75" thickBot="1" x14ac:dyDescent="0.3">
      <c r="A27" s="2" t="s">
        <v>24</v>
      </c>
      <c r="B27" s="5">
        <v>200</v>
      </c>
      <c r="C27" s="6">
        <v>44694</v>
      </c>
      <c r="D27" s="5">
        <v>4</v>
      </c>
      <c r="E27" s="6">
        <v>45958</v>
      </c>
      <c r="F27" s="6">
        <v>45827</v>
      </c>
      <c r="G27" s="48">
        <f t="shared" si="0"/>
        <v>44</v>
      </c>
      <c r="H27" s="49" cm="1">
        <f t="array" ref="H27">_xlfn.SWITCH(
    TRUE,
    G27&lt;6,1,
    G27&lt;13,2,
    G27&lt;25,3,
    G27&lt;37,4,
    G27&lt;48,5, G27 &gt;48,6
)</f>
        <v>5</v>
      </c>
      <c r="L27" s="7"/>
    </row>
    <row r="28" spans="1:12" ht="15.75" thickBot="1" x14ac:dyDescent="0.3">
      <c r="A28" s="2" t="s">
        <v>25</v>
      </c>
      <c r="B28" s="5">
        <v>245</v>
      </c>
      <c r="C28" s="6">
        <v>45228</v>
      </c>
      <c r="D28" s="5">
        <v>7</v>
      </c>
      <c r="E28" s="6">
        <v>45959</v>
      </c>
      <c r="F28" s="6">
        <v>45811</v>
      </c>
      <c r="G28" s="48">
        <f t="shared" si="0"/>
        <v>27</v>
      </c>
      <c r="H28" s="49" cm="1">
        <f t="array" ref="H28">_xlfn.SWITCH(
    TRUE,
    G28&lt;6,1,
    G28&lt;13,2,
    G28&lt;25,3,
    G28&lt;37,4,
    G28&lt;48,5, G28 &gt;48,6
)</f>
        <v>4</v>
      </c>
      <c r="L28" s="7"/>
    </row>
    <row r="29" spans="1:12" ht="15.75" thickBot="1" x14ac:dyDescent="0.3">
      <c r="A29" s="2" t="s">
        <v>26</v>
      </c>
      <c r="B29" s="5">
        <v>215</v>
      </c>
      <c r="C29" s="6">
        <v>45536</v>
      </c>
      <c r="D29" s="5">
        <v>5</v>
      </c>
      <c r="E29" s="6">
        <v>45969</v>
      </c>
      <c r="F29" s="6">
        <v>45820</v>
      </c>
      <c r="G29" s="48">
        <f t="shared" si="0"/>
        <v>17</v>
      </c>
      <c r="H29" s="49" cm="1">
        <f t="array" ref="H29">_xlfn.SWITCH(
    TRUE,
    G29&lt;6,1,
    G29&lt;13,2,
    G29&lt;25,3,
    G29&lt;37,4,
    G29&lt;48,5, G29 &gt;48,6
)</f>
        <v>3</v>
      </c>
      <c r="L29" s="7"/>
    </row>
    <row r="30" spans="1:12" ht="15.75" thickBot="1" x14ac:dyDescent="0.3">
      <c r="A30" s="2" t="s">
        <v>27</v>
      </c>
      <c r="B30" s="5">
        <v>240</v>
      </c>
      <c r="C30" s="6">
        <v>45333</v>
      </c>
      <c r="D30" s="5">
        <v>7</v>
      </c>
      <c r="E30" s="6">
        <v>45979</v>
      </c>
      <c r="F30" s="6">
        <v>45793</v>
      </c>
      <c r="G30" s="48">
        <f t="shared" si="0"/>
        <v>23</v>
      </c>
      <c r="H30" s="49" cm="1">
        <f t="array" ref="H30">_xlfn.SWITCH(
    TRUE,
    G30&lt;6,1,
    G30&lt;13,2,
    G30&lt;25,3,
    G30&lt;37,4,
    G30&lt;48,5, G30 &gt;48,6
)</f>
        <v>3</v>
      </c>
      <c r="L30" s="7"/>
    </row>
    <row r="31" spans="1:12" ht="15.75" thickBot="1" x14ac:dyDescent="0.3">
      <c r="A31" s="2" t="s">
        <v>28</v>
      </c>
      <c r="B31" s="5">
        <v>1150</v>
      </c>
      <c r="C31" s="6">
        <v>44009</v>
      </c>
      <c r="D31" s="5">
        <v>20</v>
      </c>
      <c r="E31" s="6">
        <v>45982</v>
      </c>
      <c r="F31" s="6">
        <v>45832</v>
      </c>
      <c r="G31" s="48">
        <f t="shared" si="0"/>
        <v>67</v>
      </c>
      <c r="H31" s="49" cm="1">
        <f t="array" ref="H31">_xlfn.SWITCH(
    TRUE,
    G31&lt;6,1,
    G31&lt;13,2,
    G31&lt;25,3,
    G31&lt;37,4,
    G31&lt;48,5, G31 &gt;48,6
)</f>
        <v>6</v>
      </c>
      <c r="L31" s="7"/>
    </row>
    <row r="32" spans="1:12" ht="15.75" thickBot="1" x14ac:dyDescent="0.3">
      <c r="A32" s="2" t="s">
        <v>29</v>
      </c>
      <c r="B32" s="5">
        <v>1050</v>
      </c>
      <c r="C32" s="6">
        <v>44346</v>
      </c>
      <c r="D32" s="5">
        <v>18</v>
      </c>
      <c r="E32" s="6">
        <v>45990</v>
      </c>
      <c r="F32" s="6">
        <v>45857</v>
      </c>
      <c r="G32" s="48">
        <f t="shared" si="0"/>
        <v>56</v>
      </c>
      <c r="H32" s="49" cm="1">
        <f t="array" ref="H32">_xlfn.SWITCH(
    TRUE,
    G32&lt;6,1,
    G32&lt;13,2,
    G32&lt;25,3,
    G32&lt;37,4,
    G32&lt;48,5, G32 &gt;48,6
)</f>
        <v>6</v>
      </c>
      <c r="L32" s="7"/>
    </row>
    <row r="33" spans="1:12" ht="15.75" thickBot="1" x14ac:dyDescent="0.3">
      <c r="A33" s="2" t="s">
        <v>30</v>
      </c>
      <c r="B33" s="5">
        <v>1250</v>
      </c>
      <c r="C33" s="6">
        <v>44453</v>
      </c>
      <c r="D33" s="5">
        <v>22</v>
      </c>
      <c r="E33" s="6">
        <v>45991</v>
      </c>
      <c r="F33" s="6">
        <v>45795</v>
      </c>
      <c r="G33" s="48">
        <f t="shared" si="0"/>
        <v>52</v>
      </c>
      <c r="H33" s="49" cm="1">
        <f t="array" ref="H33">_xlfn.SWITCH(
    TRUE,
    G33&lt;6,1,
    G33&lt;13,2,
    G33&lt;25,3,
    G33&lt;37,4,
    G33&lt;48,5, G33 &gt;48,6
)</f>
        <v>6</v>
      </c>
      <c r="L33" s="7"/>
    </row>
    <row r="34" spans="1:12" ht="15.75" thickBot="1" x14ac:dyDescent="0.3">
      <c r="A34" s="2" t="s">
        <v>31</v>
      </c>
      <c r="B34" s="5">
        <v>250</v>
      </c>
      <c r="C34" s="6">
        <v>44391</v>
      </c>
      <c r="D34" s="5">
        <v>8</v>
      </c>
      <c r="E34" s="6">
        <v>45992</v>
      </c>
      <c r="F34" s="6">
        <v>45845</v>
      </c>
      <c r="G34" s="48">
        <f t="shared" si="0"/>
        <v>54</v>
      </c>
      <c r="H34" s="49" cm="1">
        <f t="array" ref="H34">_xlfn.SWITCH(
    TRUE,
    G34&lt;6,1,
    G34&lt;13,2,
    G34&lt;25,3,
    G34&lt;37,4,
    G34&lt;48,5, G34 &gt;48,6
)</f>
        <v>6</v>
      </c>
      <c r="L34" s="7"/>
    </row>
    <row r="35" spans="1:12" ht="15.75" thickBot="1" x14ac:dyDescent="0.3">
      <c r="A35" s="2" t="s">
        <v>32</v>
      </c>
      <c r="B35" s="5">
        <v>195</v>
      </c>
      <c r="C35" s="6">
        <v>45203</v>
      </c>
      <c r="D35" s="5">
        <v>4</v>
      </c>
      <c r="E35" s="6">
        <v>45993</v>
      </c>
      <c r="F35" s="6">
        <v>45788</v>
      </c>
      <c r="G35" s="48">
        <f t="shared" si="0"/>
        <v>28</v>
      </c>
      <c r="H35" s="49" cm="1">
        <f t="array" ref="H35">_xlfn.SWITCH(
    TRUE,
    G35&lt;6,1,
    G35&lt;13,2,
    G35&lt;25,3,
    G35&lt;37,4,
    G35&lt;48,5, G35 &gt;48,6
)</f>
        <v>4</v>
      </c>
      <c r="L35" s="7"/>
    </row>
    <row r="36" spans="1:12" ht="15.75" thickBot="1" x14ac:dyDescent="0.3">
      <c r="A36" s="2" t="s">
        <v>33</v>
      </c>
      <c r="B36" s="5">
        <v>1200</v>
      </c>
      <c r="C36" s="6">
        <v>44566</v>
      </c>
      <c r="D36" s="5">
        <v>21</v>
      </c>
      <c r="E36" s="6">
        <v>45994</v>
      </c>
      <c r="F36" s="6">
        <v>45844</v>
      </c>
      <c r="G36" s="48">
        <f t="shared" si="0"/>
        <v>49</v>
      </c>
      <c r="H36" s="49" cm="1">
        <f t="array" ref="H36">_xlfn.SWITCH(
    TRUE,
    G36&lt;6,1,
    G36&lt;13,2,
    G36&lt;25,3,
    G36&lt;37,4,
    G36&lt;48,5, G36 &gt;48,6
)</f>
        <v>6</v>
      </c>
      <c r="L36" s="7"/>
    </row>
    <row r="37" spans="1:12" ht="15.75" thickBot="1" x14ac:dyDescent="0.3">
      <c r="A37" s="2" t="s">
        <v>34</v>
      </c>
      <c r="B37" s="5">
        <v>1100</v>
      </c>
      <c r="C37" s="6">
        <v>45001</v>
      </c>
      <c r="D37" s="5">
        <v>19</v>
      </c>
      <c r="E37" s="6">
        <v>46006</v>
      </c>
      <c r="F37" s="6">
        <v>45880</v>
      </c>
      <c r="G37" s="48">
        <f t="shared" si="0"/>
        <v>34</v>
      </c>
      <c r="H37" s="49" cm="1">
        <f t="array" ref="H37">_xlfn.SWITCH(
    TRUE,
    G37&lt;6,1,
    G37&lt;13,2,
    G37&lt;25,3,
    G37&lt;37,4,
    G37&lt;48,5, G37 &gt;48,6
)</f>
        <v>4</v>
      </c>
      <c r="L37" s="7"/>
    </row>
    <row r="38" spans="1:12" ht="15.75" thickBot="1" x14ac:dyDescent="0.3">
      <c r="A38" s="2" t="s">
        <v>35</v>
      </c>
      <c r="B38" s="5">
        <v>1000</v>
      </c>
      <c r="C38" s="6">
        <v>45574</v>
      </c>
      <c r="D38" s="5">
        <v>17</v>
      </c>
      <c r="E38" s="6">
        <v>46011</v>
      </c>
      <c r="F38" s="6">
        <v>45923</v>
      </c>
      <c r="G38" s="48">
        <f t="shared" si="0"/>
        <v>16</v>
      </c>
      <c r="H38" s="49" cm="1">
        <f t="array" ref="H38">_xlfn.SWITCH(
    TRUE,
    G38&lt;6,1,
    G38&lt;13,2,
    G38&lt;25,3,
    G38&lt;37,4,
    G38&lt;48,5, G38 &gt;48,6
)</f>
        <v>3</v>
      </c>
      <c r="L38" s="7"/>
    </row>
    <row r="39" spans="1:12" x14ac:dyDescent="0.25">
      <c r="L39" s="7"/>
    </row>
    <row r="40" spans="1:12" x14ac:dyDescent="0.25">
      <c r="L40" s="7"/>
    </row>
    <row r="41" spans="1:12" x14ac:dyDescent="0.25">
      <c r="L41" s="7"/>
    </row>
  </sheetData>
  <sortState xmlns:xlrd2="http://schemas.microsoft.com/office/spreadsheetml/2017/richdata2" ref="L8:Q41">
    <sortCondition ref="Q7:Q41"/>
  </sortState>
  <mergeCells count="4">
    <mergeCell ref="G3:J3"/>
    <mergeCell ref="K3:N3"/>
    <mergeCell ref="O3:R3"/>
    <mergeCell ref="S3:S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E7DF-FDD5-4D4E-B328-CC2F1BD7B9CA}">
  <dimension ref="A1:AE39"/>
  <sheetViews>
    <sheetView tabSelected="1" zoomScale="80" zoomScaleNormal="80" workbookViewId="0">
      <selection activeCell="O5" sqref="O5"/>
    </sheetView>
  </sheetViews>
  <sheetFormatPr baseColWidth="10" defaultRowHeight="15" x14ac:dyDescent="0.25"/>
  <cols>
    <col min="2" max="4" width="11.5703125" customWidth="1"/>
    <col min="6" max="6" width="14" customWidth="1"/>
    <col min="7" max="7" width="14.28515625" customWidth="1"/>
    <col min="8" max="8" width="14.85546875" customWidth="1"/>
    <col min="9" max="9" width="16.5703125" customWidth="1"/>
    <col min="10" max="10" width="14.42578125" customWidth="1"/>
    <col min="11" max="11" width="15" customWidth="1"/>
    <col min="12" max="12" width="14.7109375" customWidth="1"/>
    <col min="13" max="13" width="13.5703125" customWidth="1"/>
    <col min="14" max="14" width="14.28515625" customWidth="1"/>
    <col min="16" max="16" width="14.42578125" customWidth="1"/>
    <col min="17" max="17" width="14.28515625" customWidth="1"/>
  </cols>
  <sheetData>
    <row r="1" spans="1:31" ht="18.75" x14ac:dyDescent="0.3">
      <c r="A1" s="18" t="s">
        <v>47</v>
      </c>
      <c r="B1" s="18"/>
      <c r="C1" s="18"/>
      <c r="D1" s="18"/>
      <c r="E1" s="18"/>
      <c r="H1" t="s">
        <v>66</v>
      </c>
    </row>
    <row r="2" spans="1:31" ht="15.75" thickBot="1" x14ac:dyDescent="0.3">
      <c r="H2" s="53">
        <v>46062</v>
      </c>
    </row>
    <row r="3" spans="1:31" ht="15.75" thickBot="1" x14ac:dyDescent="0.3">
      <c r="A3" s="19"/>
      <c r="B3" s="19"/>
      <c r="C3" s="19"/>
      <c r="D3" s="19"/>
      <c r="E3" s="65" t="s">
        <v>71</v>
      </c>
      <c r="F3" s="66"/>
      <c r="G3" s="66"/>
      <c r="H3" s="67"/>
      <c r="I3" s="68" t="s">
        <v>72</v>
      </c>
      <c r="J3" s="69"/>
      <c r="K3" s="69"/>
      <c r="L3" s="70"/>
      <c r="M3" s="71" t="s">
        <v>80</v>
      </c>
      <c r="N3" s="72"/>
      <c r="O3" s="72"/>
      <c r="P3" s="73"/>
      <c r="Q3" s="74" t="s">
        <v>78</v>
      </c>
      <c r="R3" s="19"/>
      <c r="S3" s="19"/>
      <c r="T3" s="19"/>
    </row>
    <row r="4" spans="1:31" ht="48.75" customHeight="1" thickBot="1" x14ac:dyDescent="0.3">
      <c r="A4" s="1" t="s">
        <v>0</v>
      </c>
      <c r="B4" s="4" t="s">
        <v>67</v>
      </c>
      <c r="C4" s="4" t="s">
        <v>68</v>
      </c>
      <c r="D4" s="4" t="s">
        <v>69</v>
      </c>
      <c r="E4" s="26" t="s">
        <v>70</v>
      </c>
      <c r="F4" s="26" t="s">
        <v>50</v>
      </c>
      <c r="G4" s="26" t="s">
        <v>73</v>
      </c>
      <c r="H4" s="26" t="s">
        <v>50</v>
      </c>
      <c r="I4" s="27" t="s">
        <v>74</v>
      </c>
      <c r="J4" s="27" t="s">
        <v>50</v>
      </c>
      <c r="K4" s="28" t="s">
        <v>75</v>
      </c>
      <c r="L4" s="28" t="s">
        <v>50</v>
      </c>
      <c r="M4" s="29" t="s">
        <v>76</v>
      </c>
      <c r="N4" s="29" t="s">
        <v>50</v>
      </c>
      <c r="O4" s="29" t="s">
        <v>77</v>
      </c>
      <c r="P4" s="29" t="s">
        <v>50</v>
      </c>
      <c r="Q4" s="77"/>
      <c r="R4" s="20"/>
      <c r="S4" s="80" t="s">
        <v>79</v>
      </c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</row>
    <row r="5" spans="1:31" ht="15.75" thickBot="1" x14ac:dyDescent="0.3">
      <c r="A5" s="2" t="s">
        <v>1</v>
      </c>
      <c r="B5" s="6">
        <v>43869</v>
      </c>
      <c r="C5" s="6">
        <v>46003</v>
      </c>
      <c r="D5" s="8">
        <v>45818</v>
      </c>
      <c r="E5" s="48">
        <f>DATEDIF(B5,$H$2,"M")</f>
        <v>72</v>
      </c>
      <c r="F5" s="49" cm="1">
        <f t="array" ref="F5">_xlfn.SWITCH(
    TRUE,
    E5&lt;6,1,
    E5&lt;13,2,
    E5&lt;25,3,
    E5&lt;37,4,
    E5&lt;49,5, E5 &gt;48,6
)</f>
        <v>6</v>
      </c>
      <c r="G5" s="48">
        <f>DATEDIF(C5,$H$2,"d")</f>
        <v>59</v>
      </c>
      <c r="H5" s="48" cm="1">
        <f t="array" ref="H5">_xlfn.SWITCH(
    TRUE,
    G5&lt;30,8,
    G5&lt;91,6,
    G5&lt;121,5,
    G5&lt;181,4,
    G5&lt;241,2, G5 &gt;240,1
)</f>
        <v>6</v>
      </c>
      <c r="I5" s="50">
        <f>DATEDIF(D5,C5,"d")</f>
        <v>185</v>
      </c>
      <c r="J5" s="50" cm="1">
        <f t="array" ref="J5">_xlfn.SWITCH(
    TRUE,
    I5&lt;15,8,
    I5&lt;31,6,
    I5&lt;61,4,
    I5&lt;91,2,
    I5&lt;121,1, I5&gt;120,0
)</f>
        <v>0</v>
      </c>
      <c r="K5" s="23">
        <v>24</v>
      </c>
      <c r="L5" s="50" cm="1">
        <f t="array" ref="L5">_xlfn.SWITCH(
TRUE,K5&lt;5,1, K5&lt;11,2, K5 &lt;16,3, K5 &lt;21, 4,  K5 &lt;25,5, K5 &lt;25,6
)</f>
        <v>5</v>
      </c>
      <c r="M5" s="51">
        <f>O5*K5</f>
        <v>31200</v>
      </c>
      <c r="N5" s="52" cm="1">
        <f t="array" ref="N5">_xlfn.SWITCH(
TRUE,
M5&lt;6000,1,
M5&lt;7501,2,
M5&lt;12001,3,
M5&lt;16001,4, M5&lt;20001,5, M5&gt;20000,6
)</f>
        <v>6</v>
      </c>
      <c r="O5" s="24" t="s">
        <v>43</v>
      </c>
      <c r="P5" s="52" cm="1">
        <f t="array" ref="P5">_xlfn.SWITCH(
    TRUE,
    O5&lt;150,1,
    O5&lt;301,2,
    O5&lt;501,3,
    O5&lt;801,4,
    O5&lt;1101,6, O5&gt;1100,8
)</f>
        <v>8</v>
      </c>
      <c r="Q5" s="25">
        <f>P5+N5+L5+J5+H5+F5</f>
        <v>31</v>
      </c>
      <c r="R5" s="20"/>
      <c r="S5" s="20"/>
      <c r="T5" s="20"/>
    </row>
    <row r="6" spans="1:31" ht="15.75" thickBot="1" x14ac:dyDescent="0.3">
      <c r="A6" s="2" t="s">
        <v>2</v>
      </c>
      <c r="B6" s="6">
        <v>43854</v>
      </c>
      <c r="C6" s="6">
        <v>45784</v>
      </c>
      <c r="D6" s="6">
        <v>45784</v>
      </c>
      <c r="E6" s="48">
        <f t="shared" ref="E6:E39" si="0">DATEDIF(B6,$H$2,"M")</f>
        <v>72</v>
      </c>
      <c r="F6" s="49" cm="1">
        <f t="array" ref="F6">_xlfn.SWITCH(
    TRUE,
    E6&lt;6,1,
    E6&lt;13,2,
    E6&lt;25,3,
    E6&lt;37,4,
    E6&lt;49,5, E6 &gt;48,6
)</f>
        <v>6</v>
      </c>
      <c r="G6" s="48">
        <f t="shared" ref="G6:G39" si="1">DATEDIF(C6,$H$2,"d")</f>
        <v>278</v>
      </c>
      <c r="H6" s="48" cm="1">
        <f t="array" ref="H6">_xlfn.SWITCH(
    TRUE,
    G6&lt;30,8,
    G6&lt;91,6,
    G6&lt;121,5,
    G6&lt;181,4,
    G6&lt;241,2, G6 &gt;240,1
)</f>
        <v>1</v>
      </c>
      <c r="I6" s="50">
        <f t="shared" ref="I6:I39" si="2">DATEDIF(D6,C6,"d")</f>
        <v>0</v>
      </c>
      <c r="J6" s="50" cm="1">
        <f t="array" ref="J6">_xlfn.SWITCH(
    TRUE,
    I6&lt;15,8,
    I6&lt;31,6,
    I6&lt;61,4,
    I6&lt;91,2,
    I6&lt;121,1, I6&gt;120,0
)</f>
        <v>8</v>
      </c>
      <c r="K6" s="23">
        <v>1</v>
      </c>
      <c r="L6" s="50" cm="1">
        <f t="array" ref="L6">_xlfn.SWITCH(
TRUE,K6&lt;5,1, K6&lt;11,2, K6 &lt;16,3, K6 &lt;21, 4,  K6 &lt;25,5, K6 &lt;25,6
)</f>
        <v>1</v>
      </c>
      <c r="M6" s="51">
        <f t="shared" ref="M6:M39" si="3">O6*K6</f>
        <v>145</v>
      </c>
      <c r="N6" s="52" cm="1">
        <f t="array" ref="N6">_xlfn.SWITCH(
TRUE,
M6&lt;6000,1,
M6&lt;7501,2,
M6&lt;12001,3,
M6&lt;16001,4, M6&lt;20001,5, M6&gt;20000,6
)</f>
        <v>1</v>
      </c>
      <c r="O6" s="24">
        <v>145</v>
      </c>
      <c r="P6" s="52" cm="1">
        <f t="array" ref="P6">_xlfn.SWITCH(
    TRUE,
    O6&lt;150,1,
    O6&lt;301,2,
    O6&lt;501,3,
    O6&lt;801,4,
    O6&lt;1101,6, O6&gt;1100,8
)</f>
        <v>1</v>
      </c>
      <c r="Q6" s="25">
        <f t="shared" ref="Q6:Q39" si="4">P6+N6+L6+J6+H6+F6</f>
        <v>18</v>
      </c>
      <c r="R6" s="20"/>
      <c r="S6" s="20"/>
      <c r="T6" s="20"/>
    </row>
    <row r="7" spans="1:31" ht="15.75" thickBot="1" x14ac:dyDescent="0.3">
      <c r="A7" s="2" t="s">
        <v>3</v>
      </c>
      <c r="B7" s="6">
        <v>44136</v>
      </c>
      <c r="C7" s="6">
        <v>45823</v>
      </c>
      <c r="D7" s="6">
        <v>45755</v>
      </c>
      <c r="E7" s="48">
        <f t="shared" si="0"/>
        <v>63</v>
      </c>
      <c r="F7" s="49" cm="1">
        <f t="array" ref="F7">_xlfn.SWITCH(
    TRUE,
    E7&lt;6,1,
    E7&lt;13,2,
    E7&lt;25,3,
    E7&lt;37,4,
    E7&lt;49,5, E7 &gt;48,6
)</f>
        <v>6</v>
      </c>
      <c r="G7" s="48">
        <f t="shared" si="1"/>
        <v>239</v>
      </c>
      <c r="H7" s="48" cm="1">
        <f t="array" ref="H7">_xlfn.SWITCH(
    TRUE,
    G7&lt;30,8,
    G7&lt;91,6,
    G7&lt;121,5,
    G7&lt;181,4,
    G7&lt;241,2, G7 &gt;240,1
)</f>
        <v>2</v>
      </c>
      <c r="I7" s="50">
        <f t="shared" si="2"/>
        <v>68</v>
      </c>
      <c r="J7" s="50" cm="1">
        <f t="array" ref="J7">_xlfn.SWITCH(
    TRUE,
    I7&lt;15,8,
    I7&lt;31,6,
    I7&lt;61,4,
    I7&lt;91,2,
    I7&lt;121,1, I7&gt;120,0
)</f>
        <v>2</v>
      </c>
      <c r="K7" s="23">
        <v>2</v>
      </c>
      <c r="L7" s="50" cm="1">
        <f t="array" ref="L7">_xlfn.SWITCH(
TRUE,K7&lt;5,1, K7&lt;11,2, K7 &lt;16,3, K7 &lt;21, 4,  K7 &lt;25,5, K7 &lt;25,6
)</f>
        <v>1</v>
      </c>
      <c r="M7" s="51">
        <f t="shared" si="3"/>
        <v>340</v>
      </c>
      <c r="N7" s="52" cm="1">
        <f t="array" ref="N7">_xlfn.SWITCH(
TRUE,
M7&lt;6000,1,
M7&lt;7501,2,
M7&lt;12001,3,
M7&lt;16001,4, M7&lt;20001,5, M7&gt;20000,6
)</f>
        <v>1</v>
      </c>
      <c r="O7" s="24">
        <v>170</v>
      </c>
      <c r="P7" s="52" cm="1">
        <f t="array" ref="P7">_xlfn.SWITCH(
    TRUE,
    O7&lt;150,1,
    O7&lt;301,2,
    O7&lt;501,3,
    O7&lt;801,4,
    O7&lt;1101,6, O7&gt;1100,8
)</f>
        <v>2</v>
      </c>
      <c r="Q7" s="25">
        <f t="shared" si="4"/>
        <v>14</v>
      </c>
    </row>
    <row r="8" spans="1:31" ht="15.75" thickBot="1" x14ac:dyDescent="0.3">
      <c r="A8" s="2" t="s">
        <v>4</v>
      </c>
      <c r="B8" s="6">
        <v>45021</v>
      </c>
      <c r="C8" s="6">
        <v>45826</v>
      </c>
      <c r="D8" s="6">
        <v>45826</v>
      </c>
      <c r="E8" s="48">
        <f t="shared" si="0"/>
        <v>34</v>
      </c>
      <c r="F8" s="49" cm="1">
        <f t="array" ref="F8">_xlfn.SWITCH(
    TRUE,
    E8&lt;6,1,
    E8&lt;13,2,
    E8&lt;25,3,
    E8&lt;37,4,
    E8&lt;49,5, E8 &gt;48,6
)</f>
        <v>4</v>
      </c>
      <c r="G8" s="48">
        <f t="shared" si="1"/>
        <v>236</v>
      </c>
      <c r="H8" s="48" cm="1">
        <f t="array" ref="H8">_xlfn.SWITCH(
    TRUE,
    G8&lt;30,8,
    G8&lt;91,6,
    G8&lt;121,5,
    G8&lt;181,4,
    G8&lt;241,2, G8 &gt;240,1
)</f>
        <v>2</v>
      </c>
      <c r="I8" s="50">
        <f t="shared" si="2"/>
        <v>0</v>
      </c>
      <c r="J8" s="50" cm="1">
        <f t="array" ref="J8">_xlfn.SWITCH(
    TRUE,
    I8&lt;15,8,
    I8&lt;31,6,
    I8&lt;61,4,
    I8&lt;91,2,
    I8&lt;121,1, I8&gt;120,0
)</f>
        <v>8</v>
      </c>
      <c r="K8" s="23">
        <v>1</v>
      </c>
      <c r="L8" s="50" cm="1">
        <f t="array" ref="L8">_xlfn.SWITCH(
TRUE,K8&lt;5,1, K8&lt;11,2, K8 &lt;16,3, K8 &lt;21, 4,  K8 &lt;25,5, K8 &lt;25,6
)</f>
        <v>1</v>
      </c>
      <c r="M8" s="51">
        <f t="shared" si="3"/>
        <v>140</v>
      </c>
      <c r="N8" s="52" cm="1">
        <f t="array" ref="N8">_xlfn.SWITCH(
TRUE,
M8&lt;6000,1,
M8&lt;7501,2,
M8&lt;12001,3,
M8&lt;16001,4, M8&lt;20001,5, M8&gt;20000,6
)</f>
        <v>1</v>
      </c>
      <c r="O8" s="24">
        <v>140</v>
      </c>
      <c r="P8" s="52" cm="1">
        <f t="array" ref="P8">_xlfn.SWITCH(
    TRUE,
    O8&lt;150,1,
    O8&lt;301,2,
    O8&lt;501,3,
    O8&lt;801,4,
    O8&lt;1101,6, O8&gt;1100,8
)</f>
        <v>1</v>
      </c>
      <c r="Q8" s="25">
        <f t="shared" si="4"/>
        <v>17</v>
      </c>
    </row>
    <row r="9" spans="1:31" ht="15.75" thickBot="1" x14ac:dyDescent="0.3">
      <c r="A9" s="2" t="s">
        <v>5</v>
      </c>
      <c r="B9" s="6">
        <v>43915</v>
      </c>
      <c r="C9" s="6">
        <v>45838</v>
      </c>
      <c r="D9" s="6">
        <v>45725</v>
      </c>
      <c r="E9" s="48">
        <f t="shared" si="0"/>
        <v>70</v>
      </c>
      <c r="F9" s="49" cm="1">
        <f t="array" ref="F9">_xlfn.SWITCH(
    TRUE,
    E9&lt;6,1,
    E9&lt;13,2,
    E9&lt;25,3,
    E9&lt;37,4,
    E9&lt;49,5, E9 &gt;48,6
)</f>
        <v>6</v>
      </c>
      <c r="G9" s="48">
        <f t="shared" si="1"/>
        <v>224</v>
      </c>
      <c r="H9" s="48" cm="1">
        <f t="array" ref="H9">_xlfn.SWITCH(
    TRUE,
    G9&lt;30,8,
    G9&lt;91,6,
    G9&lt;121,5,
    G9&lt;181,4,
    G9&lt;241,2, G9 &gt;240,1
)</f>
        <v>2</v>
      </c>
      <c r="I9" s="50">
        <f t="shared" si="2"/>
        <v>113</v>
      </c>
      <c r="J9" s="50" cm="1">
        <f t="array" ref="J9">_xlfn.SWITCH(
    TRUE,
    I9&lt;15,8,
    I9&lt;31,6,
    I9&lt;61,4,
    I9&lt;91,2,
    I9&lt;121,1, I9&gt;120,0
)</f>
        <v>1</v>
      </c>
      <c r="K9" s="23">
        <v>3</v>
      </c>
      <c r="L9" s="50" cm="1">
        <f t="array" ref="L9">_xlfn.SWITCH(
TRUE,K9&lt;5,1, K9&lt;11,2, K9 &lt;16,3, K9 &lt;21, 4,  K9 &lt;25,5, K9 &lt;25,6
)</f>
        <v>1</v>
      </c>
      <c r="M9" s="51">
        <f t="shared" si="3"/>
        <v>570</v>
      </c>
      <c r="N9" s="52" cm="1">
        <f t="array" ref="N9">_xlfn.SWITCH(
TRUE,
M9&lt;6000,1,
M9&lt;7501,2,
M9&lt;12001,3,
M9&lt;16001,4, M9&lt;20001,5, M9&gt;20000,6
)</f>
        <v>1</v>
      </c>
      <c r="O9" s="24">
        <v>190</v>
      </c>
      <c r="P9" s="52" cm="1">
        <f t="array" ref="P9">_xlfn.SWITCH(
    TRUE,
    O9&lt;150,1,
    O9&lt;301,2,
    O9&lt;501,3,
    O9&lt;801,4,
    O9&lt;1101,6, O9&gt;1100,8
)</f>
        <v>2</v>
      </c>
      <c r="Q9" s="25">
        <f t="shared" si="4"/>
        <v>13</v>
      </c>
    </row>
    <row r="10" spans="1:31" ht="15.75" thickBot="1" x14ac:dyDescent="0.3">
      <c r="A10" s="2" t="s">
        <v>6</v>
      </c>
      <c r="B10" s="6">
        <v>44415</v>
      </c>
      <c r="C10" s="6">
        <v>45839</v>
      </c>
      <c r="D10" s="6">
        <v>45738</v>
      </c>
      <c r="E10" s="48">
        <f t="shared" si="0"/>
        <v>54</v>
      </c>
      <c r="F10" s="49" cm="1">
        <f t="array" ref="F10">_xlfn.SWITCH(
    TRUE,
    E10&lt;6,1,
    E10&lt;13,2,
    E10&lt;25,3,
    E10&lt;37,4,
    E10&lt;49,5, E10 &gt;48,6
)</f>
        <v>6</v>
      </c>
      <c r="G10" s="48">
        <f t="shared" si="1"/>
        <v>223</v>
      </c>
      <c r="H10" s="48" cm="1">
        <f t="array" ref="H10">_xlfn.SWITCH(
    TRUE,
    G10&lt;30,8,
    G10&lt;91,6,
    G10&lt;121,5,
    G10&lt;181,4,
    G10&lt;241,2, G10 &gt;240,1
)</f>
        <v>2</v>
      </c>
      <c r="I10" s="50">
        <f t="shared" si="2"/>
        <v>101</v>
      </c>
      <c r="J10" s="50" cm="1">
        <f t="array" ref="J10">_xlfn.SWITCH(
    TRUE,
    I10&lt;15,8,
    I10&lt;31,6,
    I10&lt;61,4,
    I10&lt;91,2,
    I10&lt;121,1, I10&gt;120,0
)</f>
        <v>1</v>
      </c>
      <c r="K10" s="23">
        <v>2</v>
      </c>
      <c r="L10" s="50" cm="1">
        <f t="array" ref="L10">_xlfn.SWITCH(
TRUE,K10&lt;5,1, K10&lt;11,2, K10 &lt;16,3, K10 &lt;21, 4,  K10 &lt;25,5, K10 &lt;25,6
)</f>
        <v>1</v>
      </c>
      <c r="M10" s="51">
        <f t="shared" si="3"/>
        <v>310</v>
      </c>
      <c r="N10" s="52" cm="1">
        <f t="array" ref="N10">_xlfn.SWITCH(
TRUE,
M10&lt;6000,1,
M10&lt;7501,2,
M10&lt;12001,3,
M10&lt;16001,4, M10&lt;20001,5, M10&gt;20000,6
)</f>
        <v>1</v>
      </c>
      <c r="O10" s="24">
        <v>155</v>
      </c>
      <c r="P10" s="52" cm="1">
        <f t="array" ref="P10">_xlfn.SWITCH(
    TRUE,
    O10&lt;150,1,
    O10&lt;301,2,
    O10&lt;501,3,
    O10&lt;801,4,
    O10&lt;1101,6, O10&gt;1100,8
)</f>
        <v>2</v>
      </c>
      <c r="Q10" s="25">
        <f t="shared" si="4"/>
        <v>13</v>
      </c>
    </row>
    <row r="11" spans="1:31" ht="15.75" thickBot="1" x14ac:dyDescent="0.3">
      <c r="A11" s="2" t="s">
        <v>7</v>
      </c>
      <c r="B11" s="6">
        <v>43870</v>
      </c>
      <c r="C11" s="6">
        <v>45855</v>
      </c>
      <c r="D11" s="6">
        <v>45737</v>
      </c>
      <c r="E11" s="48">
        <f t="shared" si="0"/>
        <v>72</v>
      </c>
      <c r="F11" s="49" cm="1">
        <f t="array" ref="F11">_xlfn.SWITCH(
    TRUE,
    E11&lt;6,1,
    E11&lt;13,2,
    E11&lt;25,3,
    E11&lt;37,4,
    E11&lt;49,5, E11 &gt;48,6
)</f>
        <v>6</v>
      </c>
      <c r="G11" s="48">
        <f t="shared" si="1"/>
        <v>207</v>
      </c>
      <c r="H11" s="48" cm="1">
        <f t="array" ref="H11">_xlfn.SWITCH(
    TRUE,
    G11&lt;30,8,
    G11&lt;91,6,
    G11&lt;121,5,
    G11&lt;181,4,
    G11&lt;241,2, G11 &gt;240,1
)</f>
        <v>2</v>
      </c>
      <c r="I11" s="50">
        <f t="shared" si="2"/>
        <v>118</v>
      </c>
      <c r="J11" s="50" cm="1">
        <f t="array" ref="J11">_xlfn.SWITCH(
    TRUE,
    I11&lt;15,8,
    I11&lt;31,6,
    I11&lt;61,4,
    I11&lt;91,2,
    I11&lt;121,1, I11&gt;120,0
)</f>
        <v>1</v>
      </c>
      <c r="K11" s="23">
        <v>5</v>
      </c>
      <c r="L11" s="50" cm="1">
        <f t="array" ref="L11">_xlfn.SWITCH(
TRUE,K11&lt;5,1, K11&lt;11,2, K11 &lt;16,3, K11 &lt;21, 4,  K11 &lt;25,5, K11 &lt;25,6
)</f>
        <v>2</v>
      </c>
      <c r="M11" s="51">
        <f t="shared" si="3"/>
        <v>1050</v>
      </c>
      <c r="N11" s="52" cm="1">
        <f t="array" ref="N11">_xlfn.SWITCH(
TRUE,
M11&lt;6000,1,
M11&lt;7501,2,
M11&lt;12001,3,
M11&lt;16001,4, M11&lt;20001,5, M11&gt;20000,6
)</f>
        <v>1</v>
      </c>
      <c r="O11" s="24">
        <v>210</v>
      </c>
      <c r="P11" s="52" cm="1">
        <f t="array" ref="P11">_xlfn.SWITCH(
    TRUE,
    O11&lt;150,1,
    O11&lt;301,2,
    O11&lt;501,3,
    O11&lt;801,4,
    O11&lt;1101,6, O11&gt;1100,8
)</f>
        <v>2</v>
      </c>
      <c r="Q11" s="25">
        <f t="shared" si="4"/>
        <v>14</v>
      </c>
    </row>
    <row r="12" spans="1:31" ht="15.75" thickBot="1" x14ac:dyDescent="0.3">
      <c r="A12" s="2" t="s">
        <v>8</v>
      </c>
      <c r="B12" s="6">
        <v>44824</v>
      </c>
      <c r="C12" s="6">
        <v>45857</v>
      </c>
      <c r="D12" s="6">
        <v>45733</v>
      </c>
      <c r="E12" s="48">
        <f t="shared" si="0"/>
        <v>40</v>
      </c>
      <c r="F12" s="49" cm="1">
        <f t="array" ref="F12">_xlfn.SWITCH(
    TRUE,
    E12&lt;6,1,
    E12&lt;13,2,
    E12&lt;25,3,
    E12&lt;37,4,
    E12&lt;49,5, E12 &gt;48,6
)</f>
        <v>5</v>
      </c>
      <c r="G12" s="48">
        <f t="shared" si="1"/>
        <v>205</v>
      </c>
      <c r="H12" s="48" cm="1">
        <f t="array" ref="H12">_xlfn.SWITCH(
    TRUE,
    G12&lt;30,8,
    G12&lt;91,6,
    G12&lt;121,5,
    G12&lt;181,4,
    G12&lt;241,2, G12 &gt;240,1
)</f>
        <v>2</v>
      </c>
      <c r="I12" s="50">
        <f t="shared" si="2"/>
        <v>124</v>
      </c>
      <c r="J12" s="50" cm="1">
        <f t="array" ref="J12">_xlfn.SWITCH(
    TRUE,
    I12&lt;15,8,
    I12&lt;31,6,
    I12&lt;61,4,
    I12&lt;91,2,
    I12&lt;121,1, I12&gt;120,0
)</f>
        <v>0</v>
      </c>
      <c r="K12" s="23">
        <v>3</v>
      </c>
      <c r="L12" s="50" cm="1">
        <f t="array" ref="L12">_xlfn.SWITCH(
TRUE,K12&lt;5,1, K12&lt;11,2, K12 &lt;16,3, K12 &lt;21, 4,  K12 &lt;25,5, K12 &lt;25,6
)</f>
        <v>1</v>
      </c>
      <c r="M12" s="51">
        <f t="shared" si="3"/>
        <v>525</v>
      </c>
      <c r="N12" s="52" cm="1">
        <f t="array" ref="N12">_xlfn.SWITCH(
TRUE,
M12&lt;6000,1,
M12&lt;7501,2,
M12&lt;12001,3,
M12&lt;16001,4, M12&lt;20001,5, M12&gt;20000,6
)</f>
        <v>1</v>
      </c>
      <c r="O12" s="24">
        <v>175</v>
      </c>
      <c r="P12" s="52" cm="1">
        <f t="array" ref="P12">_xlfn.SWITCH(
    TRUE,
    O12&lt;150,1,
    O12&lt;301,2,
    O12&lt;501,3,
    O12&lt;801,4,
    O12&lt;1101,6, O12&gt;1100,8
)</f>
        <v>2</v>
      </c>
      <c r="Q12" s="25">
        <f t="shared" si="4"/>
        <v>11</v>
      </c>
    </row>
    <row r="13" spans="1:31" ht="15.75" thickBot="1" x14ac:dyDescent="0.3">
      <c r="A13" s="2" t="s">
        <v>9</v>
      </c>
      <c r="B13" s="6">
        <v>45549</v>
      </c>
      <c r="C13" s="6">
        <v>45867</v>
      </c>
      <c r="D13" s="6">
        <v>45867</v>
      </c>
      <c r="E13" s="48">
        <f t="shared" si="0"/>
        <v>16</v>
      </c>
      <c r="F13" s="49" cm="1">
        <f t="array" ref="F13">_xlfn.SWITCH(
    TRUE,
    E13&lt;6,1,
    E13&lt;13,2,
    E13&lt;25,3,
    E13&lt;37,4,
    E13&lt;49,5, E13 &gt;48,6
)</f>
        <v>3</v>
      </c>
      <c r="G13" s="48">
        <f t="shared" si="1"/>
        <v>195</v>
      </c>
      <c r="H13" s="48" cm="1">
        <f t="array" ref="H13">_xlfn.SWITCH(
    TRUE,
    G13&lt;30,8,
    G13&lt;91,6,
    G13&lt;121,5,
    G13&lt;181,4,
    G13&lt;241,2, G13 &gt;240,1
)</f>
        <v>2</v>
      </c>
      <c r="I13" s="50">
        <f t="shared" si="2"/>
        <v>0</v>
      </c>
      <c r="J13" s="50" cm="1">
        <f t="array" ref="J13">_xlfn.SWITCH(
    TRUE,
    I13&lt;15,8,
    I13&lt;31,6,
    I13&lt;61,4,
    I13&lt;91,2,
    I13&lt;121,1, I13&gt;120,0
)</f>
        <v>8</v>
      </c>
      <c r="K13" s="23">
        <v>1</v>
      </c>
      <c r="L13" s="50" cm="1">
        <f t="array" ref="L13">_xlfn.SWITCH(
TRUE,K13&lt;5,1, K13&lt;11,2, K13 &lt;16,3, K13 &lt;21, 4,  K13 &lt;25,5, K13 &lt;25,6
)</f>
        <v>1</v>
      </c>
      <c r="M13" s="51">
        <f t="shared" si="3"/>
        <v>135</v>
      </c>
      <c r="N13" s="52" cm="1">
        <f t="array" ref="N13">_xlfn.SWITCH(
TRUE,
M13&lt;6000,1,
M13&lt;7501,2,
M13&lt;12001,3,
M13&lt;16001,4, M13&lt;20001,5, M13&gt;20000,6
)</f>
        <v>1</v>
      </c>
      <c r="O13" s="24">
        <v>135</v>
      </c>
      <c r="P13" s="52" cm="1">
        <f t="array" ref="P13">_xlfn.SWITCH(
    TRUE,
    O13&lt;150,1,
    O13&lt;301,2,
    O13&lt;501,3,
    O13&lt;801,4,
    O13&lt;1101,6, O13&gt;1100,8
)</f>
        <v>1</v>
      </c>
      <c r="Q13" s="25">
        <f t="shared" si="4"/>
        <v>16</v>
      </c>
    </row>
    <row r="14" spans="1:31" ht="15.75" thickBot="1" x14ac:dyDescent="0.3">
      <c r="A14" s="2" t="s">
        <v>10</v>
      </c>
      <c r="B14" s="6">
        <v>44255</v>
      </c>
      <c r="C14" s="6">
        <v>45872</v>
      </c>
      <c r="D14" s="6">
        <v>45872</v>
      </c>
      <c r="E14" s="48">
        <f t="shared" si="0"/>
        <v>59</v>
      </c>
      <c r="F14" s="49" cm="1">
        <f t="array" ref="F14">_xlfn.SWITCH(
    TRUE,
    E14&lt;6,1,
    E14&lt;13,2,
    E14&lt;25,3,
    E14&lt;37,4,
    E14&lt;49,5, E14 &gt;48,6
)</f>
        <v>6</v>
      </c>
      <c r="G14" s="48">
        <f t="shared" si="1"/>
        <v>190</v>
      </c>
      <c r="H14" s="48" cm="1">
        <f t="array" ref="H14">_xlfn.SWITCH(
    TRUE,
    G14&lt;30,8,
    G14&lt;91,6,
    G14&lt;121,5,
    G14&lt;181,4,
    G14&lt;241,2, G14 &gt;240,1
)</f>
        <v>2</v>
      </c>
      <c r="I14" s="50">
        <f t="shared" si="2"/>
        <v>0</v>
      </c>
      <c r="J14" s="50" cm="1">
        <f t="array" ref="J14">_xlfn.SWITCH(
    TRUE,
    I14&lt;15,8,
    I14&lt;31,6,
    I14&lt;61,4,
    I14&lt;91,2,
    I14&lt;121,1, I14&gt;120,0
)</f>
        <v>8</v>
      </c>
      <c r="K14" s="23">
        <v>1</v>
      </c>
      <c r="L14" s="50" cm="1">
        <f t="array" ref="L14">_xlfn.SWITCH(
TRUE,K14&lt;5,1, K14&lt;11,2, K14 &lt;16,3, K14 &lt;21, 4,  K14 &lt;25,5, K14 &lt;25,6
)</f>
        <v>1</v>
      </c>
      <c r="M14" s="51">
        <f t="shared" si="3"/>
        <v>130</v>
      </c>
      <c r="N14" s="52" cm="1">
        <f t="array" ref="N14">_xlfn.SWITCH(
TRUE,
M14&lt;6000,1,
M14&lt;7501,2,
M14&lt;12001,3,
M14&lt;16001,4, M14&lt;20001,5, M14&gt;20000,6
)</f>
        <v>1</v>
      </c>
      <c r="O14" s="24">
        <v>130</v>
      </c>
      <c r="P14" s="52" cm="1">
        <f t="array" ref="P14">_xlfn.SWITCH(
    TRUE,
    O14&lt;150,1,
    O14&lt;301,2,
    O14&lt;501,3,
    O14&lt;801,4,
    O14&lt;1101,6, O14&gt;1100,8
)</f>
        <v>1</v>
      </c>
      <c r="Q14" s="25">
        <f t="shared" si="4"/>
        <v>19</v>
      </c>
    </row>
    <row r="15" spans="1:31" ht="15.75" thickBot="1" x14ac:dyDescent="0.3">
      <c r="A15" s="2" t="s">
        <v>11</v>
      </c>
      <c r="B15" s="6">
        <v>44097</v>
      </c>
      <c r="C15" s="6">
        <v>45875</v>
      </c>
      <c r="D15" s="6">
        <v>45758</v>
      </c>
      <c r="E15" s="48">
        <f t="shared" si="0"/>
        <v>64</v>
      </c>
      <c r="F15" s="49" cm="1">
        <f t="array" ref="F15">_xlfn.SWITCH(
    TRUE,
    E15&lt;6,1,
    E15&lt;13,2,
    E15&lt;25,3,
    E15&lt;37,4,
    E15&lt;49,5, E15 &gt;48,6
)</f>
        <v>6</v>
      </c>
      <c r="G15" s="48">
        <f t="shared" si="1"/>
        <v>187</v>
      </c>
      <c r="H15" s="48" cm="1">
        <f t="array" ref="H15">_xlfn.SWITCH(
    TRUE,
    G15&lt;30,8,
    G15&lt;91,6,
    G15&lt;121,5,
    G15&lt;181,4,
    G15&lt;241,2, G15 &gt;240,1
)</f>
        <v>2</v>
      </c>
      <c r="I15" s="50">
        <f t="shared" si="2"/>
        <v>117</v>
      </c>
      <c r="J15" s="50" cm="1">
        <f t="array" ref="J15">_xlfn.SWITCH(
    TRUE,
    I15&lt;15,8,
    I15&lt;31,6,
    I15&lt;61,4,
    I15&lt;91,2,
    I15&lt;121,1, I15&gt;120,0
)</f>
        <v>1</v>
      </c>
      <c r="K15" s="23">
        <v>6</v>
      </c>
      <c r="L15" s="50" cm="1">
        <f t="array" ref="L15">_xlfn.SWITCH(
TRUE,K15&lt;5,1, K15&lt;11,2, K15 &lt;16,3, K15 &lt;21, 4,  K15 &lt;25,5, K15 &lt;25,6
)</f>
        <v>2</v>
      </c>
      <c r="M15" s="51">
        <f t="shared" si="3"/>
        <v>1410</v>
      </c>
      <c r="N15" s="52" cm="1">
        <f t="array" ref="N15">_xlfn.SWITCH(
TRUE,
M15&lt;6000,1,
M15&lt;7501,2,
M15&lt;12001,3,
M15&lt;16001,4, M15&lt;20001,5, M15&gt;20000,6
)</f>
        <v>1</v>
      </c>
      <c r="O15" s="24">
        <v>235</v>
      </c>
      <c r="P15" s="52" cm="1">
        <f t="array" ref="P15">_xlfn.SWITCH(
    TRUE,
    O15&lt;150,1,
    O15&lt;301,2,
    O15&lt;501,3,
    O15&lt;801,4,
    O15&lt;1101,6, O15&gt;1100,8
)</f>
        <v>2</v>
      </c>
      <c r="Q15" s="25">
        <f t="shared" si="4"/>
        <v>14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/>
    </row>
    <row r="16" spans="1:31" ht="15.75" thickBot="1" x14ac:dyDescent="0.3">
      <c r="A16" s="2" t="s">
        <v>12</v>
      </c>
      <c r="B16" s="6">
        <v>44393</v>
      </c>
      <c r="C16" s="6">
        <v>45880</v>
      </c>
      <c r="D16" s="6">
        <v>45765</v>
      </c>
      <c r="E16" s="48">
        <f t="shared" si="0"/>
        <v>54</v>
      </c>
      <c r="F16" s="49" cm="1">
        <f t="array" ref="F16">_xlfn.SWITCH(
    TRUE,
    E16&lt;6,1,
    E16&lt;13,2,
    E16&lt;25,3,
    E16&lt;37,4,
    E16&lt;49,5, E16 &gt;48,6
)</f>
        <v>6</v>
      </c>
      <c r="G16" s="48">
        <f t="shared" si="1"/>
        <v>182</v>
      </c>
      <c r="H16" s="48" cm="1">
        <f t="array" ref="H16">_xlfn.SWITCH(
    TRUE,
    G16&lt;30,8,
    G16&lt;91,6,
    G16&lt;121,5,
    G16&lt;181,4,
    G16&lt;241,2, G16 &gt;240,1
)</f>
        <v>2</v>
      </c>
      <c r="I16" s="50">
        <f t="shared" si="2"/>
        <v>115</v>
      </c>
      <c r="J16" s="50" cm="1">
        <f t="array" ref="J16">_xlfn.SWITCH(
    TRUE,
    I16&lt;15,8,
    I16&lt;31,6,
    I16&lt;61,4,
    I16&lt;91,2,
    I16&lt;121,1, I16&gt;120,0
)</f>
        <v>1</v>
      </c>
      <c r="K16" s="23">
        <v>3</v>
      </c>
      <c r="L16" s="50" cm="1">
        <f t="array" ref="L16">_xlfn.SWITCH(
TRUE,K16&lt;5,1, K16&lt;11,2, K16 &lt;16,3, K16 &lt;21, 4,  K16 &lt;25,5, K16 &lt;25,6
)</f>
        <v>1</v>
      </c>
      <c r="M16" s="51">
        <f t="shared" si="3"/>
        <v>555</v>
      </c>
      <c r="N16" s="52" cm="1">
        <f t="array" ref="N16">_xlfn.SWITCH(
TRUE,
M16&lt;6000,1,
M16&lt;7501,2,
M16&lt;12001,3,
M16&lt;16001,4, M16&lt;20001,5, M16&gt;20000,6
)</f>
        <v>1</v>
      </c>
      <c r="O16" s="24">
        <v>185</v>
      </c>
      <c r="P16" s="52" cm="1">
        <f t="array" ref="P16">_xlfn.SWITCH(
    TRUE,
    O16&lt;150,1,
    O16&lt;301,2,
    O16&lt;501,3,
    O16&lt;801,4,
    O16&lt;1101,6, O16&gt;1100,8
)</f>
        <v>2</v>
      </c>
      <c r="Q16" s="25">
        <f t="shared" si="4"/>
        <v>13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17" ht="15.75" thickBot="1" x14ac:dyDescent="0.3">
      <c r="A17" s="2" t="s">
        <v>13</v>
      </c>
      <c r="B17" s="6">
        <v>44907</v>
      </c>
      <c r="C17" s="6">
        <v>45889</v>
      </c>
      <c r="D17" s="6">
        <v>45763</v>
      </c>
      <c r="E17" s="48">
        <f t="shared" si="0"/>
        <v>37</v>
      </c>
      <c r="F17" s="49" cm="1">
        <f t="array" ref="F17">_xlfn.SWITCH(
    TRUE,
    E17&lt;6,1,
    E17&lt;13,2,
    E17&lt;25,3,
    E17&lt;37,4,
    E17&lt;49,5, E17 &gt;48,6
)</f>
        <v>5</v>
      </c>
      <c r="G17" s="48">
        <f t="shared" si="1"/>
        <v>173</v>
      </c>
      <c r="H17" s="48" cm="1">
        <f t="array" ref="H17">_xlfn.SWITCH(
    TRUE,
    G17&lt;30,8,
    G17&lt;91,6,
    G17&lt;121,5,
    G17&lt;181,4,
    G17&lt;241,2, G17 &gt;240,1
)</f>
        <v>4</v>
      </c>
      <c r="I17" s="50">
        <f t="shared" si="2"/>
        <v>126</v>
      </c>
      <c r="J17" s="50" cm="1">
        <f t="array" ref="J17">_xlfn.SWITCH(
    TRUE,
    I17&lt;15,8,
    I17&lt;31,6,
    I17&lt;61,4,
    I17&lt;91,2,
    I17&lt;121,1, I17&gt;120,0
)</f>
        <v>0</v>
      </c>
      <c r="K17" s="23">
        <v>2</v>
      </c>
      <c r="L17" s="50" cm="1">
        <f t="array" ref="L17">_xlfn.SWITCH(
TRUE,K17&lt;5,1, K17&lt;11,2, K17 &lt;16,3, K17 &lt;21, 4,  K17 &lt;25,5, K17 &lt;25,6
)</f>
        <v>1</v>
      </c>
      <c r="M17" s="51">
        <f t="shared" si="3"/>
        <v>300</v>
      </c>
      <c r="N17" s="52" cm="1">
        <f t="array" ref="N17">_xlfn.SWITCH(
TRUE,
M17&lt;6000,1,
M17&lt;7501,2,
M17&lt;12001,3,
M17&lt;16001,4, M17&lt;20001,5, M17&gt;20000,6
)</f>
        <v>1</v>
      </c>
      <c r="O17" s="24">
        <v>150</v>
      </c>
      <c r="P17" s="52" cm="1">
        <f t="array" ref="P17">_xlfn.SWITCH(
    TRUE,
    O17&lt;150,1,
    O17&lt;301,2,
    O17&lt;501,3,
    O17&lt;801,4,
    O17&lt;1101,6, O17&gt;1100,8
)</f>
        <v>2</v>
      </c>
      <c r="Q17" s="25">
        <f t="shared" si="4"/>
        <v>13</v>
      </c>
    </row>
    <row r="18" spans="1:17" ht="15.75" thickBot="1" x14ac:dyDescent="0.3">
      <c r="A18" s="2" t="s">
        <v>14</v>
      </c>
      <c r="B18" s="6">
        <v>45095</v>
      </c>
      <c r="C18" s="6">
        <v>45909</v>
      </c>
      <c r="D18" s="6">
        <v>45789</v>
      </c>
      <c r="E18" s="48">
        <f t="shared" si="0"/>
        <v>31</v>
      </c>
      <c r="F18" s="49" cm="1">
        <f t="array" ref="F18">_xlfn.SWITCH(
    TRUE,
    E18&lt;6,1,
    E18&lt;13,2,
    E18&lt;25,3,
    E18&lt;37,4,
    E18&lt;49,5, E18 &gt;48,6
)</f>
        <v>4</v>
      </c>
      <c r="G18" s="48">
        <f t="shared" si="1"/>
        <v>153</v>
      </c>
      <c r="H18" s="48" cm="1">
        <f t="array" ref="H18">_xlfn.SWITCH(
    TRUE,
    G18&lt;30,8,
    G18&lt;91,6,
    G18&lt;121,5,
    G18&lt;181,4,
    G18&lt;241,2, G18 &gt;240,1
)</f>
        <v>4</v>
      </c>
      <c r="I18" s="50">
        <f t="shared" si="2"/>
        <v>120</v>
      </c>
      <c r="J18" s="50" cm="1">
        <f t="array" ref="J18">_xlfn.SWITCH(
    TRUE,
    I18&lt;15,8,
    I18&lt;31,6,
    I18&lt;61,4,
    I18&lt;91,2,
    I18&lt;121,1, I18&gt;120,0
)</f>
        <v>1</v>
      </c>
      <c r="K18" s="23">
        <v>2</v>
      </c>
      <c r="L18" s="50" cm="1">
        <f t="array" ref="L18">_xlfn.SWITCH(
TRUE,K18&lt;5,1, K18&lt;11,2, K18 &lt;16,3, K18 &lt;21, 4,  K18 &lt;25,5, K18 &lt;25,6
)</f>
        <v>1</v>
      </c>
      <c r="M18" s="51">
        <f t="shared" si="3"/>
        <v>330</v>
      </c>
      <c r="N18" s="52" cm="1">
        <f t="array" ref="N18">_xlfn.SWITCH(
TRUE,
M18&lt;6000,1,
M18&lt;7501,2,
M18&lt;12001,3,
M18&lt;16001,4, M18&lt;20001,5, M18&gt;20000,6
)</f>
        <v>1</v>
      </c>
      <c r="O18" s="24">
        <v>165</v>
      </c>
      <c r="P18" s="52" cm="1">
        <f t="array" ref="P18">_xlfn.SWITCH(
    TRUE,
    O18&lt;150,1,
    O18&lt;301,2,
    O18&lt;501,3,
    O18&lt;801,4,
    O18&lt;1101,6, O18&gt;1100,8
)</f>
        <v>2</v>
      </c>
      <c r="Q18" s="25">
        <f t="shared" si="4"/>
        <v>13</v>
      </c>
    </row>
    <row r="19" spans="1:17" ht="15.75" thickBot="1" x14ac:dyDescent="0.3">
      <c r="A19" s="2" t="s">
        <v>15</v>
      </c>
      <c r="B19" s="6">
        <v>44654</v>
      </c>
      <c r="C19" s="6">
        <v>45914</v>
      </c>
      <c r="D19" s="6">
        <v>45795</v>
      </c>
      <c r="E19" s="48">
        <f t="shared" si="0"/>
        <v>46</v>
      </c>
      <c r="F19" s="49" cm="1">
        <f t="array" ref="F19">_xlfn.SWITCH(
    TRUE,
    E19&lt;6,1,
    E19&lt;13,2,
    E19&lt;25,3,
    E19&lt;37,4,
    E19&lt;49,5, E19 &gt;48,6
)</f>
        <v>5</v>
      </c>
      <c r="G19" s="48">
        <f t="shared" si="1"/>
        <v>148</v>
      </c>
      <c r="H19" s="48" cm="1">
        <f t="array" ref="H19">_xlfn.SWITCH(
    TRUE,
    G19&lt;30,8,
    G19&lt;91,6,
    G19&lt;121,5,
    G19&lt;181,4,
    G19&lt;241,2, G19 &gt;240,1
)</f>
        <v>4</v>
      </c>
      <c r="I19" s="50">
        <f t="shared" si="2"/>
        <v>119</v>
      </c>
      <c r="J19" s="50" cm="1">
        <f t="array" ref="J19">_xlfn.SWITCH(
    TRUE,
    I19&lt;15,8,
    I19&lt;31,6,
    I19&lt;61,4,
    I19&lt;91,2,
    I19&lt;121,1, I19&gt;120,0
)</f>
        <v>1</v>
      </c>
      <c r="K19" s="23">
        <v>8</v>
      </c>
      <c r="L19" s="50" cm="1">
        <f t="array" ref="L19">_xlfn.SWITCH(
TRUE,K19&lt;5,1, K19&lt;11,2, K19 &lt;16,3, K19 &lt;21, 4,  K19 &lt;25,5, K19 &lt;25,6
)</f>
        <v>2</v>
      </c>
      <c r="M19" s="51">
        <f t="shared" si="3"/>
        <v>2040</v>
      </c>
      <c r="N19" s="52" cm="1">
        <f t="array" ref="N19">_xlfn.SWITCH(
TRUE,
M19&lt;6000,1,
M19&lt;7501,2,
M19&lt;12001,3,
M19&lt;16001,4, M19&lt;20001,5, M19&gt;20000,6
)</f>
        <v>1</v>
      </c>
      <c r="O19" s="24">
        <v>255</v>
      </c>
      <c r="P19" s="52" cm="1">
        <f t="array" ref="P19">_xlfn.SWITCH(
    TRUE,
    O19&lt;150,1,
    O19&lt;301,2,
    O19&lt;501,3,
    O19&lt;801,4,
    O19&lt;1101,6, O19&gt;1100,8
)</f>
        <v>2</v>
      </c>
      <c r="Q19" s="25">
        <f t="shared" si="4"/>
        <v>15</v>
      </c>
    </row>
    <row r="20" spans="1:17" ht="15.75" thickBot="1" x14ac:dyDescent="0.3">
      <c r="A20" s="2" t="s">
        <v>16</v>
      </c>
      <c r="B20" s="6">
        <v>44742</v>
      </c>
      <c r="C20" s="6">
        <v>45914</v>
      </c>
      <c r="D20" s="6">
        <v>45914</v>
      </c>
      <c r="E20" s="48">
        <f t="shared" si="0"/>
        <v>43</v>
      </c>
      <c r="F20" s="49" cm="1">
        <f t="array" ref="F20">_xlfn.SWITCH(
    TRUE,
    E20&lt;6,1,
    E20&lt;13,2,
    E20&lt;25,3,
    E20&lt;37,4,
    E20&lt;49,5, E20 &gt;48,6
)</f>
        <v>5</v>
      </c>
      <c r="G20" s="48">
        <f t="shared" si="1"/>
        <v>148</v>
      </c>
      <c r="H20" s="48" cm="1">
        <f t="array" ref="H20">_xlfn.SWITCH(
    TRUE,
    G20&lt;30,8,
    G20&lt;91,6,
    G20&lt;121,5,
    G20&lt;181,4,
    G20&lt;241,2, G20 &gt;240,1
)</f>
        <v>4</v>
      </c>
      <c r="I20" s="50">
        <f t="shared" si="2"/>
        <v>0</v>
      </c>
      <c r="J20" s="50" cm="1">
        <f t="array" ref="J20">_xlfn.SWITCH(
    TRUE,
    I20&lt;15,8,
    I20&lt;31,6,
    I20&lt;61,4,
    I20&lt;91,2,
    I20&lt;121,1, I20&gt;120,0
)</f>
        <v>8</v>
      </c>
      <c r="K20" s="23">
        <v>1</v>
      </c>
      <c r="L20" s="50" cm="1">
        <f t="array" ref="L20">_xlfn.SWITCH(
TRUE,K20&lt;5,1, K20&lt;11,2, K20 &lt;16,3, K20 &lt;21, 4,  K20 &lt;25,5, K20 &lt;25,6
)</f>
        <v>1</v>
      </c>
      <c r="M20" s="51">
        <f t="shared" si="3"/>
        <v>125</v>
      </c>
      <c r="N20" s="52" cm="1">
        <f t="array" ref="N20">_xlfn.SWITCH(
TRUE,
M20&lt;6000,1,
M20&lt;7501,2,
M20&lt;12001,3,
M20&lt;16001,4, M20&lt;20001,5, M20&gt;20000,6
)</f>
        <v>1</v>
      </c>
      <c r="O20" s="24">
        <v>125</v>
      </c>
      <c r="P20" s="52" cm="1">
        <f t="array" ref="P20">_xlfn.SWITCH(
    TRUE,
    O20&lt;150,1,
    O20&lt;301,2,
    O20&lt;501,3,
    O20&lt;801,4,
    O20&lt;1101,6, O20&gt;1100,8
)</f>
        <v>1</v>
      </c>
      <c r="Q20" s="25">
        <f t="shared" si="4"/>
        <v>20</v>
      </c>
    </row>
    <row r="21" spans="1:17" ht="15.75" thickBot="1" x14ac:dyDescent="0.3">
      <c r="A21" s="2" t="s">
        <v>17</v>
      </c>
      <c r="B21" s="6">
        <v>44744</v>
      </c>
      <c r="C21" s="6">
        <v>45919</v>
      </c>
      <c r="D21" s="6">
        <v>45738</v>
      </c>
      <c r="E21" s="48">
        <f t="shared" si="0"/>
        <v>43</v>
      </c>
      <c r="F21" s="49" cm="1">
        <f t="array" ref="F21">_xlfn.SWITCH(
    TRUE,
    E21&lt;6,1,
    E21&lt;13,2,
    E21&lt;25,3,
    E21&lt;37,4,
    E21&lt;49,5, E21 &gt;48,6
)</f>
        <v>5</v>
      </c>
      <c r="G21" s="48">
        <f t="shared" si="1"/>
        <v>143</v>
      </c>
      <c r="H21" s="48" cm="1">
        <f t="array" ref="H21">_xlfn.SWITCH(
    TRUE,
    G21&lt;30,8,
    G21&lt;91,6,
    G21&lt;121,5,
    G21&lt;181,4,
    G21&lt;241,2, G21 &gt;240,1
)</f>
        <v>4</v>
      </c>
      <c r="I21" s="50">
        <f t="shared" si="2"/>
        <v>181</v>
      </c>
      <c r="J21" s="50" cm="1">
        <f t="array" ref="J21">_xlfn.SWITCH(
    TRUE,
    I21&lt;15,8,
    I21&lt;31,6,
    I21&lt;61,4,
    I21&lt;91,2,
    I21&lt;121,1, I21&gt;120,0
)</f>
        <v>0</v>
      </c>
      <c r="K21" s="23">
        <v>6</v>
      </c>
      <c r="L21" s="50" cm="1">
        <f t="array" ref="L21">_xlfn.SWITCH(
TRUE,K21&lt;5,1, K21&lt;11,2, K21 &lt;16,3, K21 &lt;21, 4,  K21 &lt;25,5, K21 &lt;25,6
)</f>
        <v>2</v>
      </c>
      <c r="M21" s="51">
        <f t="shared" si="3"/>
        <v>1380</v>
      </c>
      <c r="N21" s="52" cm="1">
        <f t="array" ref="N21">_xlfn.SWITCH(
TRUE,
M21&lt;6000,1,
M21&lt;7501,2,
M21&lt;12001,3,
M21&lt;16001,4, M21&lt;20001,5, M21&gt;20000,6
)</f>
        <v>1</v>
      </c>
      <c r="O21" s="24">
        <v>230</v>
      </c>
      <c r="P21" s="52" cm="1">
        <f t="array" ref="P21">_xlfn.SWITCH(
    TRUE,
    O21&lt;150,1,
    O21&lt;301,2,
    O21&lt;501,3,
    O21&lt;801,4,
    O21&lt;1101,6, O21&gt;1100,8
)</f>
        <v>2</v>
      </c>
      <c r="Q21" s="25">
        <f t="shared" si="4"/>
        <v>14</v>
      </c>
    </row>
    <row r="22" spans="1:17" ht="15.75" thickBot="1" x14ac:dyDescent="0.3">
      <c r="A22" s="2" t="s">
        <v>18</v>
      </c>
      <c r="B22" s="6">
        <v>45033</v>
      </c>
      <c r="C22" s="6">
        <v>45920</v>
      </c>
      <c r="D22" s="6">
        <v>45782</v>
      </c>
      <c r="E22" s="48">
        <f t="shared" si="0"/>
        <v>33</v>
      </c>
      <c r="F22" s="49" cm="1">
        <f t="array" ref="F22">_xlfn.SWITCH(
    TRUE,
    E22&lt;6,1,
    E22&lt;13,2,
    E22&lt;25,3,
    E22&lt;37,4,
    E22&lt;49,5, E22 &gt;48,6
)</f>
        <v>4</v>
      </c>
      <c r="G22" s="48">
        <f t="shared" si="1"/>
        <v>142</v>
      </c>
      <c r="H22" s="48" cm="1">
        <f t="array" ref="H22">_xlfn.SWITCH(
    TRUE,
    G22&lt;30,8,
    G22&lt;91,6,
    G22&lt;121,5,
    G22&lt;181,4,
    G22&lt;241,2, G22 &gt;240,1
)</f>
        <v>4</v>
      </c>
      <c r="I22" s="50">
        <f t="shared" si="2"/>
        <v>138</v>
      </c>
      <c r="J22" s="50" cm="1">
        <f t="array" ref="J22">_xlfn.SWITCH(
    TRUE,
    I22&lt;15,8,
    I22&lt;31,6,
    I22&lt;61,4,
    I22&lt;91,2,
    I22&lt;121,1, I22&gt;120,0
)</f>
        <v>0</v>
      </c>
      <c r="K22" s="23">
        <v>5</v>
      </c>
      <c r="L22" s="50" cm="1">
        <f t="array" ref="L22">_xlfn.SWITCH(
TRUE,K22&lt;5,1, K22&lt;11,2, K22 &lt;16,3, K22 &lt;21, 4,  K22 &lt;25,5, K22 &lt;25,6
)</f>
        <v>2</v>
      </c>
      <c r="M22" s="51">
        <f t="shared" si="3"/>
        <v>1100</v>
      </c>
      <c r="N22" s="52" cm="1">
        <f t="array" ref="N22">_xlfn.SWITCH(
TRUE,
M22&lt;6000,1,
M22&lt;7501,2,
M22&lt;12001,3,
M22&lt;16001,4, M22&lt;20001,5, M22&gt;20000,6
)</f>
        <v>1</v>
      </c>
      <c r="O22" s="24">
        <v>220</v>
      </c>
      <c r="P22" s="52" cm="1">
        <f t="array" ref="P22">_xlfn.SWITCH(
    TRUE,
    O22&lt;150,1,
    O22&lt;301,2,
    O22&lt;501,3,
    O22&lt;801,4,
    O22&lt;1101,6, O22&gt;1100,8
)</f>
        <v>2</v>
      </c>
      <c r="Q22" s="25">
        <f t="shared" si="4"/>
        <v>13</v>
      </c>
    </row>
    <row r="23" spans="1:17" ht="15.75" thickBot="1" x14ac:dyDescent="0.3">
      <c r="A23" s="2" t="s">
        <v>19</v>
      </c>
      <c r="B23" s="6">
        <v>44528</v>
      </c>
      <c r="C23" s="6">
        <v>45923</v>
      </c>
      <c r="D23" s="6">
        <v>45761</v>
      </c>
      <c r="E23" s="48">
        <f t="shared" si="0"/>
        <v>50</v>
      </c>
      <c r="F23" s="49" cm="1">
        <f t="array" ref="F23">_xlfn.SWITCH(
    TRUE,
    E23&lt;6,1,
    E23&lt;13,2,
    E23&lt;25,3,
    E23&lt;37,4,
    E23&lt;49,5, E23 &gt;48,6
)</f>
        <v>6</v>
      </c>
      <c r="G23" s="48">
        <f t="shared" si="1"/>
        <v>139</v>
      </c>
      <c r="H23" s="48" cm="1">
        <f t="array" ref="H23">_xlfn.SWITCH(
    TRUE,
    G23&lt;30,8,
    G23&lt;91,6,
    G23&lt;121,5,
    G23&lt;181,4,
    G23&lt;241,2, G23 &gt;240,1
)</f>
        <v>4</v>
      </c>
      <c r="I23" s="50">
        <f t="shared" si="2"/>
        <v>162</v>
      </c>
      <c r="J23" s="50" cm="1">
        <f t="array" ref="J23">_xlfn.SWITCH(
    TRUE,
    I23&lt;15,8,
    I23&lt;31,6,
    I23&lt;61,4,
    I23&lt;91,2,
    I23&lt;121,1, I23&gt;120,0
)</f>
        <v>0</v>
      </c>
      <c r="K23" s="23">
        <v>4</v>
      </c>
      <c r="L23" s="50" cm="1">
        <f t="array" ref="L23">_xlfn.SWITCH(
TRUE,K23&lt;5,1, K23&lt;11,2, K23 &lt;16,3, K23 &lt;21, 4,  K23 &lt;25,5, K23 &lt;25,6
)</f>
        <v>1</v>
      </c>
      <c r="M23" s="51">
        <f t="shared" si="3"/>
        <v>820</v>
      </c>
      <c r="N23" s="52" cm="1">
        <f t="array" ref="N23">_xlfn.SWITCH(
TRUE,
M23&lt;6000,1,
M23&lt;7501,2,
M23&lt;12001,3,
M23&lt;16001,4, M23&lt;20001,5, M23&gt;20000,6
)</f>
        <v>1</v>
      </c>
      <c r="O23" s="24">
        <v>205</v>
      </c>
      <c r="P23" s="52" cm="1">
        <f t="array" ref="P23">_xlfn.SWITCH(
    TRUE,
    O23&lt;150,1,
    O23&lt;301,2,
    O23&lt;501,3,
    O23&lt;801,4,
    O23&lt;1101,6, O23&gt;1100,8
)</f>
        <v>2</v>
      </c>
      <c r="Q23" s="25">
        <f t="shared" si="4"/>
        <v>14</v>
      </c>
    </row>
    <row r="24" spans="1:17" ht="15.75" thickBot="1" x14ac:dyDescent="0.3">
      <c r="A24" s="2" t="s">
        <v>20</v>
      </c>
      <c r="B24" s="6">
        <v>45348</v>
      </c>
      <c r="C24" s="6">
        <v>45943</v>
      </c>
      <c r="D24" s="6">
        <v>45812</v>
      </c>
      <c r="E24" s="48">
        <f t="shared" si="0"/>
        <v>23</v>
      </c>
      <c r="F24" s="49" cm="1">
        <f t="array" ref="F24">_xlfn.SWITCH(
    TRUE,
    E24&lt;6,1,
    E24&lt;13,2,
    E24&lt;25,3,
    E24&lt;37,4,
    E24&lt;49,5, E24 &gt;48,6
)</f>
        <v>3</v>
      </c>
      <c r="G24" s="48">
        <f t="shared" si="1"/>
        <v>119</v>
      </c>
      <c r="H24" s="48" cm="1">
        <f t="array" ref="H24">_xlfn.SWITCH(
    TRUE,
    G24&lt;30,8,
    G24&lt;91,6,
    G24&lt;121,5,
    G24&lt;181,4,
    G24&lt;241,2, G24 &gt;240,1
)</f>
        <v>5</v>
      </c>
      <c r="I24" s="50">
        <f t="shared" si="2"/>
        <v>131</v>
      </c>
      <c r="J24" s="50" cm="1">
        <f t="array" ref="J24">_xlfn.SWITCH(
    TRUE,
    I24&lt;15,8,
    I24&lt;31,6,
    I24&lt;61,4,
    I24&lt;91,2,
    I24&lt;121,1, I24&gt;120,0
)</f>
        <v>0</v>
      </c>
      <c r="K24" s="23">
        <v>2</v>
      </c>
      <c r="L24" s="50" cm="1">
        <f t="array" ref="L24">_xlfn.SWITCH(
TRUE,K24&lt;5,1, K24&lt;11,2, K24 &lt;16,3, K24 &lt;21, 4,  K24 &lt;25,5, K24 &lt;25,6
)</f>
        <v>1</v>
      </c>
      <c r="M24" s="51">
        <f t="shared" si="3"/>
        <v>320</v>
      </c>
      <c r="N24" s="52" cm="1">
        <f t="array" ref="N24">_xlfn.SWITCH(
TRUE,
M24&lt;6000,1,
M24&lt;7501,2,
M24&lt;12001,3,
M24&lt;16001,4, M24&lt;20001,5, M24&gt;20000,6
)</f>
        <v>1</v>
      </c>
      <c r="O24" s="24">
        <v>160</v>
      </c>
      <c r="P24" s="52" cm="1">
        <f t="array" ref="P24">_xlfn.SWITCH(
    TRUE,
    O24&lt;150,1,
    O24&lt;301,2,
    O24&lt;501,3,
    O24&lt;801,4,
    O24&lt;1101,6, O24&gt;1100,8
)</f>
        <v>2</v>
      </c>
      <c r="Q24" s="25">
        <f t="shared" si="4"/>
        <v>12</v>
      </c>
    </row>
    <row r="25" spans="1:17" ht="15.75" thickBot="1" x14ac:dyDescent="0.3">
      <c r="A25" s="2" t="s">
        <v>21</v>
      </c>
      <c r="B25" s="6">
        <v>44202</v>
      </c>
      <c r="C25" s="6">
        <v>45945</v>
      </c>
      <c r="D25" s="6">
        <v>45777</v>
      </c>
      <c r="E25" s="48">
        <f t="shared" si="0"/>
        <v>61</v>
      </c>
      <c r="F25" s="49" cm="1">
        <f t="array" ref="F25">_xlfn.SWITCH(
    TRUE,
    E25&lt;6,1,
    E25&lt;13,2,
    E25&lt;25,3,
    E25&lt;37,4,
    E25&lt;49,5, E25 &gt;48,6
)</f>
        <v>6</v>
      </c>
      <c r="G25" s="48">
        <f t="shared" si="1"/>
        <v>117</v>
      </c>
      <c r="H25" s="48" cm="1">
        <f t="array" ref="H25">_xlfn.SWITCH(
    TRUE,
    G25&lt;30,8,
    G25&lt;91,6,
    G25&lt;121,5,
    G25&lt;181,4,
    G25&lt;241,2, G25 &gt;240,1
)</f>
        <v>5</v>
      </c>
      <c r="I25" s="50">
        <f t="shared" si="2"/>
        <v>168</v>
      </c>
      <c r="J25" s="50" cm="1">
        <f t="array" ref="J25">_xlfn.SWITCH(
    TRUE,
    I25&lt;15,8,
    I25&lt;31,6,
    I25&lt;61,4,
    I25&lt;91,2,
    I25&lt;121,1, I25&gt;120,0
)</f>
        <v>0</v>
      </c>
      <c r="K25" s="23">
        <v>6</v>
      </c>
      <c r="L25" s="50" cm="1">
        <f t="array" ref="L25">_xlfn.SWITCH(
TRUE,K25&lt;5,1, K25&lt;11,2, K25 &lt;16,3, K25 &lt;21, 4,  K25 &lt;25,5, K25 &lt;25,6
)</f>
        <v>2</v>
      </c>
      <c r="M25" s="51">
        <f t="shared" si="3"/>
        <v>1350</v>
      </c>
      <c r="N25" s="52" cm="1">
        <f t="array" ref="N25">_xlfn.SWITCH(
TRUE,
M25&lt;6000,1,
M25&lt;7501,2,
M25&lt;12001,3,
M25&lt;16001,4, M25&lt;20001,5, M25&gt;20000,6
)</f>
        <v>1</v>
      </c>
      <c r="O25" s="24">
        <v>225</v>
      </c>
      <c r="P25" s="52" cm="1">
        <f t="array" ref="P25">_xlfn.SWITCH(
    TRUE,
    O25&lt;150,1,
    O25&lt;301,2,
    O25&lt;501,3,
    O25&lt;801,4,
    O25&lt;1101,6, O25&gt;1100,8
)</f>
        <v>2</v>
      </c>
      <c r="Q25" s="25">
        <f t="shared" si="4"/>
        <v>16</v>
      </c>
    </row>
    <row r="26" spans="1:17" ht="15.75" thickBot="1" x14ac:dyDescent="0.3">
      <c r="A26" s="2" t="s">
        <v>22</v>
      </c>
      <c r="B26" s="6">
        <v>45300</v>
      </c>
      <c r="C26" s="6">
        <v>45952</v>
      </c>
      <c r="D26" s="6">
        <v>45779</v>
      </c>
      <c r="E26" s="48">
        <f t="shared" si="0"/>
        <v>25</v>
      </c>
      <c r="F26" s="49" cm="1">
        <f t="array" ref="F26">_xlfn.SWITCH(
    TRUE,
    E26&lt;6,1,
    E26&lt;13,2,
    E26&lt;25,3,
    E26&lt;37,4,
    E26&lt;49,5, E26 &gt;48,6
)</f>
        <v>4</v>
      </c>
      <c r="G26" s="48">
        <f t="shared" si="1"/>
        <v>110</v>
      </c>
      <c r="H26" s="48" cm="1">
        <f t="array" ref="H26">_xlfn.SWITCH(
    TRUE,
    G26&lt;30,8,
    G26&lt;91,6,
    G26&lt;121,5,
    G26&lt;181,4,
    G26&lt;241,2, G26 &gt;240,1
)</f>
        <v>5</v>
      </c>
      <c r="I26" s="50">
        <f t="shared" si="2"/>
        <v>173</v>
      </c>
      <c r="J26" s="50" cm="1">
        <f t="array" ref="J26">_xlfn.SWITCH(
    TRUE,
    I26&lt;15,8,
    I26&lt;31,6,
    I26&lt;61,4,
    I26&lt;91,2,
    I26&lt;121,1, I26&gt;120,0
)</f>
        <v>0</v>
      </c>
      <c r="K26" s="23">
        <v>3</v>
      </c>
      <c r="L26" s="50" cm="1">
        <f t="array" ref="L26">_xlfn.SWITCH(
TRUE,K26&lt;5,1, K26&lt;11,2, K26 &lt;16,3, K26 &lt;21, 4,  K26 &lt;25,5, K26 &lt;25,6
)</f>
        <v>1</v>
      </c>
      <c r="M26" s="51">
        <f t="shared" si="3"/>
        <v>540</v>
      </c>
      <c r="N26" s="52" cm="1">
        <f t="array" ref="N26">_xlfn.SWITCH(
TRUE,
M26&lt;6000,1,
M26&lt;7501,2,
M26&lt;12001,3,
M26&lt;16001,4, M26&lt;20001,5, M26&gt;20000,6
)</f>
        <v>1</v>
      </c>
      <c r="O26" s="24">
        <v>180</v>
      </c>
      <c r="P26" s="52" cm="1">
        <f t="array" ref="P26">_xlfn.SWITCH(
    TRUE,
    O26&lt;150,1,
    O26&lt;301,2,
    O26&lt;501,3,
    O26&lt;801,4,
    O26&lt;1101,6, O26&gt;1100,8
)</f>
        <v>2</v>
      </c>
      <c r="Q26" s="25">
        <f t="shared" si="4"/>
        <v>13</v>
      </c>
    </row>
    <row r="27" spans="1:17" ht="15.75" thickBot="1" x14ac:dyDescent="0.3">
      <c r="A27" s="2" t="s">
        <v>23</v>
      </c>
      <c r="B27" s="6">
        <v>43851</v>
      </c>
      <c r="C27" s="6">
        <v>45955</v>
      </c>
      <c r="D27" s="6">
        <v>45818</v>
      </c>
      <c r="E27" s="48">
        <f t="shared" si="0"/>
        <v>72</v>
      </c>
      <c r="F27" s="49" cm="1">
        <f t="array" ref="F27">_xlfn.SWITCH(
    TRUE,
    E27&lt;6,1,
    E27&lt;13,2,
    E27&lt;25,3,
    E27&lt;37,4,
    E27&lt;49,5, E27 &gt;48,6
)</f>
        <v>6</v>
      </c>
      <c r="G27" s="48">
        <f t="shared" si="1"/>
        <v>107</v>
      </c>
      <c r="H27" s="48" cm="1">
        <f t="array" ref="H27">_xlfn.SWITCH(
    TRUE,
    G27&lt;30,8,
    G27&lt;91,6,
    G27&lt;121,5,
    G27&lt;181,4,
    G27&lt;241,2, G27 &gt;240,1
)</f>
        <v>5</v>
      </c>
      <c r="I27" s="50">
        <f t="shared" si="2"/>
        <v>137</v>
      </c>
      <c r="J27" s="50" cm="1">
        <f t="array" ref="J27">_xlfn.SWITCH(
    TRUE,
    I27&lt;15,8,
    I27&lt;31,6,
    I27&lt;61,4,
    I27&lt;91,2,
    I27&lt;121,1, I27&gt;120,0
)</f>
        <v>0</v>
      </c>
      <c r="K27" s="23">
        <v>9</v>
      </c>
      <c r="L27" s="50" cm="1">
        <f t="array" ref="L27">_xlfn.SWITCH(
TRUE,K27&lt;5,1, K27&lt;11,2, K27 &lt;16,3, K27 &lt;21, 4,  K27 &lt;25,5, K27 &lt;25,6
)</f>
        <v>2</v>
      </c>
      <c r="M27" s="51">
        <f t="shared" si="3"/>
        <v>2340</v>
      </c>
      <c r="N27" s="52" cm="1">
        <f t="array" ref="N27">_xlfn.SWITCH(
TRUE,
M27&lt;6000,1,
M27&lt;7501,2,
M27&lt;12001,3,
M27&lt;16001,4, M27&lt;20001,5, M27&gt;20000,6
)</f>
        <v>1</v>
      </c>
      <c r="O27" s="24">
        <v>260</v>
      </c>
      <c r="P27" s="52" cm="1">
        <f t="array" ref="P27">_xlfn.SWITCH(
    TRUE,
    O27&lt;150,1,
    O27&lt;301,2,
    O27&lt;501,3,
    O27&lt;801,4,
    O27&lt;1101,6, O27&gt;1100,8
)</f>
        <v>2</v>
      </c>
      <c r="Q27" s="25">
        <f t="shared" si="4"/>
        <v>16</v>
      </c>
    </row>
    <row r="28" spans="1:17" ht="15.75" thickBot="1" x14ac:dyDescent="0.3">
      <c r="A28" s="2" t="s">
        <v>24</v>
      </c>
      <c r="B28" s="6">
        <v>44694</v>
      </c>
      <c r="C28" s="6">
        <v>45958</v>
      </c>
      <c r="D28" s="6">
        <v>45827</v>
      </c>
      <c r="E28" s="48">
        <f t="shared" si="0"/>
        <v>44</v>
      </c>
      <c r="F28" s="49" cm="1">
        <f t="array" ref="F28">_xlfn.SWITCH(
    TRUE,
    E28&lt;6,1,
    E28&lt;13,2,
    E28&lt;25,3,
    E28&lt;37,4,
    E28&lt;49,5, E28 &gt;48,6
)</f>
        <v>5</v>
      </c>
      <c r="G28" s="48">
        <f t="shared" si="1"/>
        <v>104</v>
      </c>
      <c r="H28" s="48" cm="1">
        <f t="array" ref="H28">_xlfn.SWITCH(
    TRUE,
    G28&lt;30,8,
    G28&lt;91,6,
    G28&lt;121,5,
    G28&lt;181,4,
    G28&lt;241,2, G28 &gt;240,1
)</f>
        <v>5</v>
      </c>
      <c r="I28" s="50">
        <f t="shared" si="2"/>
        <v>131</v>
      </c>
      <c r="J28" s="50" cm="1">
        <f t="array" ref="J28">_xlfn.SWITCH(
    TRUE,
    I28&lt;15,8,
    I28&lt;31,6,
    I28&lt;61,4,
    I28&lt;91,2,
    I28&lt;121,1, I28&gt;120,0
)</f>
        <v>0</v>
      </c>
      <c r="K28" s="23">
        <v>4</v>
      </c>
      <c r="L28" s="50" cm="1">
        <f t="array" ref="L28">_xlfn.SWITCH(
TRUE,K28&lt;5,1, K28&lt;11,2, K28 &lt;16,3, K28 &lt;21, 4,  K28 &lt;25,5, K28 &lt;25,6
)</f>
        <v>1</v>
      </c>
      <c r="M28" s="51">
        <f t="shared" si="3"/>
        <v>800</v>
      </c>
      <c r="N28" s="52" cm="1">
        <f t="array" ref="N28">_xlfn.SWITCH(
TRUE,
M28&lt;6000,1,
M28&lt;7501,2,
M28&lt;12001,3,
M28&lt;16001,4, M28&lt;20001,5, M28&gt;20000,6
)</f>
        <v>1</v>
      </c>
      <c r="O28" s="24">
        <v>200</v>
      </c>
      <c r="P28" s="52" cm="1">
        <f t="array" ref="P28">_xlfn.SWITCH(
    TRUE,
    O28&lt;150,1,
    O28&lt;301,2,
    O28&lt;501,3,
    O28&lt;801,4,
    O28&lt;1101,6, O28&gt;1100,8
)</f>
        <v>2</v>
      </c>
      <c r="Q28" s="25">
        <f t="shared" si="4"/>
        <v>14</v>
      </c>
    </row>
    <row r="29" spans="1:17" ht="15.75" thickBot="1" x14ac:dyDescent="0.3">
      <c r="A29" s="2" t="s">
        <v>25</v>
      </c>
      <c r="B29" s="6">
        <v>45228</v>
      </c>
      <c r="C29" s="6">
        <v>45959</v>
      </c>
      <c r="D29" s="6">
        <v>45811</v>
      </c>
      <c r="E29" s="48">
        <f t="shared" si="0"/>
        <v>27</v>
      </c>
      <c r="F29" s="49" cm="1">
        <f t="array" ref="F29">_xlfn.SWITCH(
    TRUE,
    E29&lt;6,1,
    E29&lt;13,2,
    E29&lt;25,3,
    E29&lt;37,4,
    E29&lt;49,5, E29 &gt;48,6
)</f>
        <v>4</v>
      </c>
      <c r="G29" s="48">
        <f t="shared" si="1"/>
        <v>103</v>
      </c>
      <c r="H29" s="48" cm="1">
        <f t="array" ref="H29">_xlfn.SWITCH(
    TRUE,
    G29&lt;30,8,
    G29&lt;91,6,
    G29&lt;121,5,
    G29&lt;181,4,
    G29&lt;241,2, G29 &gt;240,1
)</f>
        <v>5</v>
      </c>
      <c r="I29" s="50">
        <f t="shared" si="2"/>
        <v>148</v>
      </c>
      <c r="J29" s="50" cm="1">
        <f t="array" ref="J29">_xlfn.SWITCH(
    TRUE,
    I29&lt;15,8,
    I29&lt;31,6,
    I29&lt;61,4,
    I29&lt;91,2,
    I29&lt;121,1, I29&gt;120,0
)</f>
        <v>0</v>
      </c>
      <c r="K29" s="23">
        <v>7</v>
      </c>
      <c r="L29" s="50" cm="1">
        <f t="array" ref="L29">_xlfn.SWITCH(
TRUE,K29&lt;5,1, K29&lt;11,2, K29 &lt;16,3, K29 &lt;21, 4,  K29 &lt;25,5, K29 &lt;25,6
)</f>
        <v>2</v>
      </c>
      <c r="M29" s="51">
        <f t="shared" si="3"/>
        <v>1715</v>
      </c>
      <c r="N29" s="52" cm="1">
        <f t="array" ref="N29">_xlfn.SWITCH(
TRUE,
M29&lt;6000,1,
M29&lt;7501,2,
M29&lt;12001,3,
M29&lt;16001,4, M29&lt;20001,5, M29&gt;20000,6
)</f>
        <v>1</v>
      </c>
      <c r="O29" s="24">
        <v>245</v>
      </c>
      <c r="P29" s="52" cm="1">
        <f t="array" ref="P29">_xlfn.SWITCH(
    TRUE,
    O29&lt;150,1,
    O29&lt;301,2,
    O29&lt;501,3,
    O29&lt;801,4,
    O29&lt;1101,6, O29&gt;1100,8
)</f>
        <v>2</v>
      </c>
      <c r="Q29" s="25">
        <f t="shared" si="4"/>
        <v>14</v>
      </c>
    </row>
    <row r="30" spans="1:17" ht="15.75" thickBot="1" x14ac:dyDescent="0.3">
      <c r="A30" s="2" t="s">
        <v>26</v>
      </c>
      <c r="B30" s="6">
        <v>45536</v>
      </c>
      <c r="C30" s="6">
        <v>45969</v>
      </c>
      <c r="D30" s="6">
        <v>45820</v>
      </c>
      <c r="E30" s="48">
        <f t="shared" si="0"/>
        <v>17</v>
      </c>
      <c r="F30" s="49" cm="1">
        <f t="array" ref="F30">_xlfn.SWITCH(
    TRUE,
    E30&lt;6,1,
    E30&lt;13,2,
    E30&lt;25,3,
    E30&lt;37,4,
    E30&lt;49,5, E30 &gt;48,6
)</f>
        <v>3</v>
      </c>
      <c r="G30" s="48">
        <f t="shared" si="1"/>
        <v>93</v>
      </c>
      <c r="H30" s="48" cm="1">
        <f t="array" ref="H30">_xlfn.SWITCH(
    TRUE,
    G30&lt;30,8,
    G30&lt;91,6,
    G30&lt;121,5,
    G30&lt;181,4,
    G30&lt;241,2, G30 &gt;240,1
)</f>
        <v>5</v>
      </c>
      <c r="I30" s="50">
        <f t="shared" si="2"/>
        <v>149</v>
      </c>
      <c r="J30" s="50" cm="1">
        <f t="array" ref="J30">_xlfn.SWITCH(
    TRUE,
    I30&lt;15,8,
    I30&lt;31,6,
    I30&lt;61,4,
    I30&lt;91,2,
    I30&lt;121,1, I30&gt;120,0
)</f>
        <v>0</v>
      </c>
      <c r="K30" s="23">
        <v>5</v>
      </c>
      <c r="L30" s="50" cm="1">
        <f t="array" ref="L30">_xlfn.SWITCH(
TRUE,K30&lt;5,1, K30&lt;11,2, K30 &lt;16,3, K30 &lt;21, 4,  K30 &lt;25,5, K30 &lt;25,6
)</f>
        <v>2</v>
      </c>
      <c r="M30" s="51">
        <f t="shared" si="3"/>
        <v>1075</v>
      </c>
      <c r="N30" s="52" cm="1">
        <f t="array" ref="N30">_xlfn.SWITCH(
TRUE,
M30&lt;6000,1,
M30&lt;7501,2,
M30&lt;12001,3,
M30&lt;16001,4, M30&lt;20001,5, M30&gt;20000,6
)</f>
        <v>1</v>
      </c>
      <c r="O30" s="24">
        <v>215</v>
      </c>
      <c r="P30" s="52" cm="1">
        <f t="array" ref="P30">_xlfn.SWITCH(
    TRUE,
    O30&lt;150,1,
    O30&lt;301,2,
    O30&lt;501,3,
    O30&lt;801,4,
    O30&lt;1101,6, O30&gt;1100,8
)</f>
        <v>2</v>
      </c>
      <c r="Q30" s="25">
        <f t="shared" si="4"/>
        <v>13</v>
      </c>
    </row>
    <row r="31" spans="1:17" ht="15.75" thickBot="1" x14ac:dyDescent="0.3">
      <c r="A31" s="2" t="s">
        <v>27</v>
      </c>
      <c r="B31" s="6">
        <v>45333</v>
      </c>
      <c r="C31" s="6">
        <v>45979</v>
      </c>
      <c r="D31" s="6">
        <v>45793</v>
      </c>
      <c r="E31" s="48">
        <f t="shared" si="0"/>
        <v>23</v>
      </c>
      <c r="F31" s="49" cm="1">
        <f t="array" ref="F31">_xlfn.SWITCH(
    TRUE,
    E31&lt;6,1,
    E31&lt;13,2,
    E31&lt;25,3,
    E31&lt;37,4,
    E31&lt;49,5, E31 &gt;48,6
)</f>
        <v>3</v>
      </c>
      <c r="G31" s="48">
        <f t="shared" si="1"/>
        <v>83</v>
      </c>
      <c r="H31" s="48" cm="1">
        <f t="array" ref="H31">_xlfn.SWITCH(
    TRUE,
    G31&lt;30,8,
    G31&lt;91,6,
    G31&lt;121,5,
    G31&lt;181,4,
    G31&lt;241,2, G31 &gt;240,1
)</f>
        <v>6</v>
      </c>
      <c r="I31" s="50">
        <f t="shared" si="2"/>
        <v>186</v>
      </c>
      <c r="J31" s="50" cm="1">
        <f t="array" ref="J31">_xlfn.SWITCH(
    TRUE,
    I31&lt;15,8,
    I31&lt;31,6,
    I31&lt;61,4,
    I31&lt;91,2,
    I31&lt;121,1, I31&gt;120,0
)</f>
        <v>0</v>
      </c>
      <c r="K31" s="23">
        <v>7</v>
      </c>
      <c r="L31" s="50" cm="1">
        <f t="array" ref="L31">_xlfn.SWITCH(
TRUE,K31&lt;5,1, K31&lt;11,2, K31 &lt;16,3, K31 &lt;21, 4,  K31 &lt;25,5, K31 &lt;25,6
)</f>
        <v>2</v>
      </c>
      <c r="M31" s="51">
        <f t="shared" si="3"/>
        <v>1680</v>
      </c>
      <c r="N31" s="52" cm="1">
        <f t="array" ref="N31">_xlfn.SWITCH(
TRUE,
M31&lt;6000,1,
M31&lt;7501,2,
M31&lt;12001,3,
M31&lt;16001,4, M31&lt;20001,5, M31&gt;20000,6
)</f>
        <v>1</v>
      </c>
      <c r="O31" s="24">
        <v>240</v>
      </c>
      <c r="P31" s="52" cm="1">
        <f t="array" ref="P31">_xlfn.SWITCH(
    TRUE,
    O31&lt;150,1,
    O31&lt;301,2,
    O31&lt;501,3,
    O31&lt;801,4,
    O31&lt;1101,6, O31&gt;1100,8
)</f>
        <v>2</v>
      </c>
      <c r="Q31" s="25">
        <f t="shared" si="4"/>
        <v>14</v>
      </c>
    </row>
    <row r="32" spans="1:17" ht="15.75" thickBot="1" x14ac:dyDescent="0.3">
      <c r="A32" s="2" t="s">
        <v>28</v>
      </c>
      <c r="B32" s="6">
        <v>44009</v>
      </c>
      <c r="C32" s="6">
        <v>45982</v>
      </c>
      <c r="D32" s="6">
        <v>45832</v>
      </c>
      <c r="E32" s="48">
        <f t="shared" si="0"/>
        <v>67</v>
      </c>
      <c r="F32" s="49" cm="1">
        <f t="array" ref="F32">_xlfn.SWITCH(
    TRUE,
    E32&lt;6,1,
    E32&lt;13,2,
    E32&lt;25,3,
    E32&lt;37,4,
    E32&lt;49,5, E32 &gt;48,6
)</f>
        <v>6</v>
      </c>
      <c r="G32" s="48">
        <f t="shared" si="1"/>
        <v>80</v>
      </c>
      <c r="H32" s="48" cm="1">
        <f t="array" ref="H32">_xlfn.SWITCH(
    TRUE,
    G32&lt;30,8,
    G32&lt;91,6,
    G32&lt;121,5,
    G32&lt;181,4,
    G32&lt;241,2, G32 &gt;240,1
)</f>
        <v>6</v>
      </c>
      <c r="I32" s="50">
        <f t="shared" si="2"/>
        <v>150</v>
      </c>
      <c r="J32" s="50" cm="1">
        <f t="array" ref="J32">_xlfn.SWITCH(
    TRUE,
    I32&lt;15,8,
    I32&lt;31,6,
    I32&lt;61,4,
    I32&lt;91,2,
    I32&lt;121,1, I32&gt;120,0
)</f>
        <v>0</v>
      </c>
      <c r="K32" s="23">
        <v>20</v>
      </c>
      <c r="L32" s="50" cm="1">
        <f t="array" ref="L32">_xlfn.SWITCH(
TRUE,K32&lt;5,1, K32&lt;11,2, K32 &lt;16,3, K32 &lt;21, 4,  K32 &lt;25,5, K32 &lt;25,6
)</f>
        <v>4</v>
      </c>
      <c r="M32" s="51">
        <f t="shared" si="3"/>
        <v>23000</v>
      </c>
      <c r="N32" s="52" cm="1">
        <f t="array" ref="N32">_xlfn.SWITCH(
TRUE,
M32&lt;6000,1,
M32&lt;7501,2,
M32&lt;12001,3,
M32&lt;16001,4, M32&lt;20001,5, M32&gt;20000,6
)</f>
        <v>6</v>
      </c>
      <c r="O32" s="24">
        <v>1150</v>
      </c>
      <c r="P32" s="52" cm="1">
        <f t="array" ref="P32">_xlfn.SWITCH(
    TRUE,
    O32&lt;150,1,
    O32&lt;301,2,
    O32&lt;501,3,
    O32&lt;801,4,
    O32&lt;1101,6, O32&gt;1100,8
)</f>
        <v>8</v>
      </c>
      <c r="Q32" s="25">
        <f t="shared" si="4"/>
        <v>30</v>
      </c>
    </row>
    <row r="33" spans="1:17" ht="15.75" thickBot="1" x14ac:dyDescent="0.3">
      <c r="A33" s="2" t="s">
        <v>29</v>
      </c>
      <c r="B33" s="6">
        <v>44346</v>
      </c>
      <c r="C33" s="6">
        <v>45990</v>
      </c>
      <c r="D33" s="6">
        <v>45857</v>
      </c>
      <c r="E33" s="48">
        <f t="shared" si="0"/>
        <v>56</v>
      </c>
      <c r="F33" s="49" cm="1">
        <f t="array" ref="F33">_xlfn.SWITCH(
    TRUE,
    E33&lt;6,1,
    E33&lt;13,2,
    E33&lt;25,3,
    E33&lt;37,4,
    E33&lt;49,5, E33 &gt;48,6
)</f>
        <v>6</v>
      </c>
      <c r="G33" s="48">
        <f t="shared" si="1"/>
        <v>72</v>
      </c>
      <c r="H33" s="48" cm="1">
        <f t="array" ref="H33">_xlfn.SWITCH(
    TRUE,
    G33&lt;30,8,
    G33&lt;91,6,
    G33&lt;121,5,
    G33&lt;181,4,
    G33&lt;241,2, G33 &gt;240,1
)</f>
        <v>6</v>
      </c>
      <c r="I33" s="50">
        <f t="shared" si="2"/>
        <v>133</v>
      </c>
      <c r="J33" s="50" cm="1">
        <f t="array" ref="J33">_xlfn.SWITCH(
    TRUE,
    I33&lt;15,8,
    I33&lt;31,6,
    I33&lt;61,4,
    I33&lt;91,2,
    I33&lt;121,1, I33&gt;120,0
)</f>
        <v>0</v>
      </c>
      <c r="K33" s="23">
        <v>18</v>
      </c>
      <c r="L33" s="50" cm="1">
        <f t="array" ref="L33">_xlfn.SWITCH(
TRUE,K33&lt;5,1, K33&lt;11,2, K33 &lt;16,3, K33 &lt;21, 4,  K33 &lt;25,5, K33 &lt;25,6
)</f>
        <v>4</v>
      </c>
      <c r="M33" s="51">
        <f t="shared" si="3"/>
        <v>18900</v>
      </c>
      <c r="N33" s="52" cm="1">
        <f t="array" ref="N33">_xlfn.SWITCH(
TRUE,
M33&lt;6000,1,
M33&lt;7501,2,
M33&lt;12001,3,
M33&lt;16001,4, M33&lt;20001,5, M33&gt;20000,6
)</f>
        <v>5</v>
      </c>
      <c r="O33" s="24">
        <v>1050</v>
      </c>
      <c r="P33" s="52" cm="1">
        <f t="array" ref="P33">_xlfn.SWITCH(
    TRUE,
    O33&lt;150,1,
    O33&lt;301,2,
    O33&lt;501,3,
    O33&lt;801,4,
    O33&lt;1101,6, O33&gt;1100,8
)</f>
        <v>6</v>
      </c>
      <c r="Q33" s="25">
        <f t="shared" si="4"/>
        <v>27</v>
      </c>
    </row>
    <row r="34" spans="1:17" ht="15.75" thickBot="1" x14ac:dyDescent="0.3">
      <c r="A34" s="2" t="s">
        <v>30</v>
      </c>
      <c r="B34" s="6">
        <v>44453</v>
      </c>
      <c r="C34" s="6">
        <v>45991</v>
      </c>
      <c r="D34" s="6">
        <v>45795</v>
      </c>
      <c r="E34" s="48">
        <f t="shared" si="0"/>
        <v>52</v>
      </c>
      <c r="F34" s="49" cm="1">
        <f t="array" ref="F34">_xlfn.SWITCH(
    TRUE,
    E34&lt;6,1,
    E34&lt;13,2,
    E34&lt;25,3,
    E34&lt;37,4,
    E34&lt;49,5, E34 &gt;48,6
)</f>
        <v>6</v>
      </c>
      <c r="G34" s="48">
        <f t="shared" si="1"/>
        <v>71</v>
      </c>
      <c r="H34" s="48" cm="1">
        <f t="array" ref="H34">_xlfn.SWITCH(
    TRUE,
    G34&lt;30,8,
    G34&lt;91,6,
    G34&lt;121,5,
    G34&lt;181,4,
    G34&lt;241,2, G34 &gt;240,1
)</f>
        <v>6</v>
      </c>
      <c r="I34" s="50">
        <f t="shared" si="2"/>
        <v>196</v>
      </c>
      <c r="J34" s="50" cm="1">
        <f t="array" ref="J34">_xlfn.SWITCH(
    TRUE,
    I34&lt;15,8,
    I34&lt;31,6,
    I34&lt;61,4,
    I34&lt;91,2,
    I34&lt;121,1, I34&gt;120,0
)</f>
        <v>0</v>
      </c>
      <c r="K34" s="23">
        <v>22</v>
      </c>
      <c r="L34" s="50" cm="1">
        <f t="array" ref="L34">_xlfn.SWITCH(
TRUE,K34&lt;5,1, K34&lt;11,2, K34 &lt;16,3, K34 &lt;21, 4,  K34 &lt;25,5, K34 &lt;25,6
)</f>
        <v>5</v>
      </c>
      <c r="M34" s="51">
        <f t="shared" si="3"/>
        <v>27500</v>
      </c>
      <c r="N34" s="52" cm="1">
        <f t="array" ref="N34">_xlfn.SWITCH(
TRUE,
M34&lt;6000,1,
M34&lt;7501,2,
M34&lt;12001,3,
M34&lt;16001,4, M34&lt;20001,5, M34&gt;20000,6
)</f>
        <v>6</v>
      </c>
      <c r="O34" s="24">
        <v>1250</v>
      </c>
      <c r="P34" s="52" cm="1">
        <f t="array" ref="P34">_xlfn.SWITCH(
    TRUE,
    O34&lt;150,1,
    O34&lt;301,2,
    O34&lt;501,3,
    O34&lt;801,4,
    O34&lt;1101,6, O34&gt;1100,8
)</f>
        <v>8</v>
      </c>
      <c r="Q34" s="25">
        <f t="shared" si="4"/>
        <v>31</v>
      </c>
    </row>
    <row r="35" spans="1:17" ht="15.75" thickBot="1" x14ac:dyDescent="0.3">
      <c r="A35" s="2" t="s">
        <v>31</v>
      </c>
      <c r="B35" s="6">
        <v>44391</v>
      </c>
      <c r="C35" s="6">
        <v>45992</v>
      </c>
      <c r="D35" s="6">
        <v>45845</v>
      </c>
      <c r="E35" s="48">
        <f t="shared" si="0"/>
        <v>54</v>
      </c>
      <c r="F35" s="49" cm="1">
        <f t="array" ref="F35">_xlfn.SWITCH(
    TRUE,
    E35&lt;6,1,
    E35&lt;13,2,
    E35&lt;25,3,
    E35&lt;37,4,
    E35&lt;49,5, E35 &gt;48,6
)</f>
        <v>6</v>
      </c>
      <c r="G35" s="48">
        <f t="shared" si="1"/>
        <v>70</v>
      </c>
      <c r="H35" s="48" cm="1">
        <f t="array" ref="H35">_xlfn.SWITCH(
    TRUE,
    G35&lt;30,8,
    G35&lt;91,6,
    G35&lt;121,5,
    G35&lt;181,4,
    G35&lt;241,2, G35 &gt;240,1
)</f>
        <v>6</v>
      </c>
      <c r="I35" s="50">
        <f t="shared" si="2"/>
        <v>147</v>
      </c>
      <c r="J35" s="50" cm="1">
        <f t="array" ref="J35">_xlfn.SWITCH(
    TRUE,
    I35&lt;15,8,
    I35&lt;31,6,
    I35&lt;61,4,
    I35&lt;91,2,
    I35&lt;121,1, I35&gt;120,0
)</f>
        <v>0</v>
      </c>
      <c r="K35" s="23">
        <v>8</v>
      </c>
      <c r="L35" s="50" cm="1">
        <f t="array" ref="L35">_xlfn.SWITCH(
TRUE,K35&lt;5,1, K35&lt;11,2, K35 &lt;16,3, K35 &lt;21, 4,  K35 &lt;25,5, K35 &lt;25,6
)</f>
        <v>2</v>
      </c>
      <c r="M35" s="51">
        <f t="shared" si="3"/>
        <v>2000</v>
      </c>
      <c r="N35" s="52" cm="1">
        <f t="array" ref="N35">_xlfn.SWITCH(
TRUE,
M35&lt;6000,1,
M35&lt;7501,2,
M35&lt;12001,3,
M35&lt;16001,4, M35&lt;20001,5, M35&gt;20000,6
)</f>
        <v>1</v>
      </c>
      <c r="O35" s="24">
        <v>250</v>
      </c>
      <c r="P35" s="52" cm="1">
        <f t="array" ref="P35">_xlfn.SWITCH(
    TRUE,
    O35&lt;150,1,
    O35&lt;301,2,
    O35&lt;501,3,
    O35&lt;801,4,
    O35&lt;1101,6, O35&gt;1100,8
)</f>
        <v>2</v>
      </c>
      <c r="Q35" s="25">
        <f t="shared" si="4"/>
        <v>17</v>
      </c>
    </row>
    <row r="36" spans="1:17" ht="15.75" thickBot="1" x14ac:dyDescent="0.3">
      <c r="A36" s="2" t="s">
        <v>32</v>
      </c>
      <c r="B36" s="6">
        <v>45203</v>
      </c>
      <c r="C36" s="6">
        <v>45993</v>
      </c>
      <c r="D36" s="6">
        <v>45788</v>
      </c>
      <c r="E36" s="48">
        <f t="shared" si="0"/>
        <v>28</v>
      </c>
      <c r="F36" s="49" cm="1">
        <f t="array" ref="F36">_xlfn.SWITCH(
    TRUE,
    E36&lt;6,1,
    E36&lt;13,2,
    E36&lt;25,3,
    E36&lt;37,4,
    E36&lt;49,5, E36 &gt;48,6
)</f>
        <v>4</v>
      </c>
      <c r="G36" s="48">
        <f t="shared" si="1"/>
        <v>69</v>
      </c>
      <c r="H36" s="48" cm="1">
        <f t="array" ref="H36">_xlfn.SWITCH(
    TRUE,
    G36&lt;30,8,
    G36&lt;91,6,
    G36&lt;121,5,
    G36&lt;181,4,
    G36&lt;241,2, G36 &gt;240,1
)</f>
        <v>6</v>
      </c>
      <c r="I36" s="50">
        <f t="shared" si="2"/>
        <v>205</v>
      </c>
      <c r="J36" s="50" cm="1">
        <f t="array" ref="J36">_xlfn.SWITCH(
    TRUE,
    I36&lt;15,8,
    I36&lt;31,6,
    I36&lt;61,4,
    I36&lt;91,2,
    I36&lt;121,1, I36&gt;120,0
)</f>
        <v>0</v>
      </c>
      <c r="K36" s="23">
        <v>4</v>
      </c>
      <c r="L36" s="50" cm="1">
        <f t="array" ref="L36">_xlfn.SWITCH(
TRUE,K36&lt;5,1, K36&lt;11,2, K36 &lt;16,3, K36 &lt;21, 4,  K36 &lt;25,5, K36 &lt;25,6
)</f>
        <v>1</v>
      </c>
      <c r="M36" s="51">
        <f t="shared" si="3"/>
        <v>780</v>
      </c>
      <c r="N36" s="52" cm="1">
        <f t="array" ref="N36">_xlfn.SWITCH(
TRUE,
M36&lt;6000,1,
M36&lt;7501,2,
M36&lt;12001,3,
M36&lt;16001,4, M36&lt;20001,5, M36&gt;20000,6
)</f>
        <v>1</v>
      </c>
      <c r="O36" s="24">
        <v>195</v>
      </c>
      <c r="P36" s="52" cm="1">
        <f t="array" ref="P36">_xlfn.SWITCH(
    TRUE,
    O36&lt;150,1,
    O36&lt;301,2,
    O36&lt;501,3,
    O36&lt;801,4,
    O36&lt;1101,6, O36&gt;1100,8
)</f>
        <v>2</v>
      </c>
      <c r="Q36" s="25">
        <f t="shared" si="4"/>
        <v>14</v>
      </c>
    </row>
    <row r="37" spans="1:17" ht="15.75" thickBot="1" x14ac:dyDescent="0.3">
      <c r="A37" s="2" t="s">
        <v>33</v>
      </c>
      <c r="B37" s="6">
        <v>44566</v>
      </c>
      <c r="C37" s="6">
        <v>45994</v>
      </c>
      <c r="D37" s="6">
        <v>45844</v>
      </c>
      <c r="E37" s="48">
        <f t="shared" si="0"/>
        <v>49</v>
      </c>
      <c r="F37" s="49" cm="1">
        <f t="array" ref="F37">_xlfn.SWITCH(
    TRUE,
    E37&lt;6,1,
    E37&lt;13,2,
    E37&lt;25,3,
    E37&lt;37,4,
    E37&lt;49,5, E37 &gt;48,6
)</f>
        <v>6</v>
      </c>
      <c r="G37" s="48">
        <f t="shared" si="1"/>
        <v>68</v>
      </c>
      <c r="H37" s="48" cm="1">
        <f t="array" ref="H37">_xlfn.SWITCH(
    TRUE,
    G37&lt;30,8,
    G37&lt;91,6,
    G37&lt;121,5,
    G37&lt;181,4,
    G37&lt;241,2, G37 &gt;240,1
)</f>
        <v>6</v>
      </c>
      <c r="I37" s="50">
        <f t="shared" si="2"/>
        <v>150</v>
      </c>
      <c r="J37" s="50" cm="1">
        <f t="array" ref="J37">_xlfn.SWITCH(
    TRUE,
    I37&lt;15,8,
    I37&lt;31,6,
    I37&lt;61,4,
    I37&lt;91,2,
    I37&lt;121,1, I37&gt;120,0
)</f>
        <v>0</v>
      </c>
      <c r="K37" s="23">
        <v>21</v>
      </c>
      <c r="L37" s="50" cm="1">
        <f t="array" ref="L37">_xlfn.SWITCH(
TRUE,K37&lt;5,1, K37&lt;11,2, K37 &lt;16,3, K37 &lt;21, 4,  K37 &lt;25,5, K37 &lt;25,6
)</f>
        <v>5</v>
      </c>
      <c r="M37" s="51">
        <f t="shared" si="3"/>
        <v>25200</v>
      </c>
      <c r="N37" s="52" cm="1">
        <f t="array" ref="N37">_xlfn.SWITCH(
TRUE,
M37&lt;6000,1,
M37&lt;7501,2,
M37&lt;12001,3,
M37&lt;16001,4, M37&lt;20001,5, M37&gt;20000,6
)</f>
        <v>6</v>
      </c>
      <c r="O37" s="24">
        <v>1200</v>
      </c>
      <c r="P37" s="52" cm="1">
        <f t="array" ref="P37">_xlfn.SWITCH(
    TRUE,
    O37&lt;150,1,
    O37&lt;301,2,
    O37&lt;501,3,
    O37&lt;801,4,
    O37&lt;1101,6, O37&gt;1100,8
)</f>
        <v>8</v>
      </c>
      <c r="Q37" s="25">
        <f t="shared" si="4"/>
        <v>31</v>
      </c>
    </row>
    <row r="38" spans="1:17" ht="15.75" thickBot="1" x14ac:dyDescent="0.3">
      <c r="A38" s="2" t="s">
        <v>34</v>
      </c>
      <c r="B38" s="6">
        <v>45001</v>
      </c>
      <c r="C38" s="6">
        <v>46006</v>
      </c>
      <c r="D38" s="6">
        <v>45880</v>
      </c>
      <c r="E38" s="48">
        <f t="shared" si="0"/>
        <v>34</v>
      </c>
      <c r="F38" s="49" cm="1">
        <f t="array" ref="F38">_xlfn.SWITCH(
    TRUE,
    E38&lt;6,1,
    E38&lt;13,2,
    E38&lt;25,3,
    E38&lt;37,4,
    E38&lt;49,5, E38 &gt;48,6
)</f>
        <v>4</v>
      </c>
      <c r="G38" s="48">
        <f t="shared" si="1"/>
        <v>56</v>
      </c>
      <c r="H38" s="48" cm="1">
        <f t="array" ref="H38">_xlfn.SWITCH(
    TRUE,
    G38&lt;30,8,
    G38&lt;91,6,
    G38&lt;121,5,
    G38&lt;181,4,
    G38&lt;241,2, G38 &gt;240,1
)</f>
        <v>6</v>
      </c>
      <c r="I38" s="50">
        <f t="shared" si="2"/>
        <v>126</v>
      </c>
      <c r="J38" s="50" cm="1">
        <f t="array" ref="J38">_xlfn.SWITCH(
    TRUE,
    I38&lt;15,8,
    I38&lt;31,6,
    I38&lt;61,4,
    I38&lt;91,2,
    I38&lt;121,1, I38&gt;120,0
)</f>
        <v>0</v>
      </c>
      <c r="K38" s="23">
        <v>19</v>
      </c>
      <c r="L38" s="50" cm="1">
        <f t="array" ref="L38">_xlfn.SWITCH(
TRUE,K38&lt;5,1, K38&lt;11,2, K38 &lt;16,3, K38 &lt;21, 4,  K38 &lt;25,5, K38 &lt;25,6
)</f>
        <v>4</v>
      </c>
      <c r="M38" s="51">
        <f t="shared" si="3"/>
        <v>20900</v>
      </c>
      <c r="N38" s="52" cm="1">
        <f t="array" ref="N38">_xlfn.SWITCH(
TRUE,
M38&lt;6000,1,
M38&lt;7501,2,
M38&lt;12001,3,
M38&lt;16001,4, M38&lt;20001,5, M38&gt;20000,6
)</f>
        <v>6</v>
      </c>
      <c r="O38" s="24">
        <v>1100</v>
      </c>
      <c r="P38" s="52" cm="1">
        <f t="array" ref="P38">_xlfn.SWITCH(
    TRUE,
    O38&lt;150,1,
    O38&lt;301,2,
    O38&lt;501,3,
    O38&lt;801,4,
    O38&lt;1101,6, O38&gt;1100,8
)</f>
        <v>6</v>
      </c>
      <c r="Q38" s="25">
        <f t="shared" si="4"/>
        <v>26</v>
      </c>
    </row>
    <row r="39" spans="1:17" ht="15.75" thickBot="1" x14ac:dyDescent="0.3">
      <c r="A39" s="2" t="s">
        <v>35</v>
      </c>
      <c r="B39" s="6">
        <v>45574</v>
      </c>
      <c r="C39" s="6">
        <v>46011</v>
      </c>
      <c r="D39" s="6">
        <v>45923</v>
      </c>
      <c r="E39" s="48">
        <f t="shared" si="0"/>
        <v>16</v>
      </c>
      <c r="F39" s="49" cm="1">
        <f t="array" ref="F39">_xlfn.SWITCH(
    TRUE,
    E39&lt;6,1,
    E39&lt;13,2,
    E39&lt;25,3,
    E39&lt;37,4,
    E39&lt;49,5, E39 &gt;48,6
)</f>
        <v>3</v>
      </c>
      <c r="G39" s="48">
        <f t="shared" si="1"/>
        <v>51</v>
      </c>
      <c r="H39" s="48" cm="1">
        <f t="array" ref="H39">_xlfn.SWITCH(
    TRUE,
    G39&lt;30,8,
    G39&lt;91,6,
    G39&lt;121,5,
    G39&lt;181,4,
    G39&lt;241,2, G39 &gt;240,1
)</f>
        <v>6</v>
      </c>
      <c r="I39" s="50">
        <f t="shared" si="2"/>
        <v>88</v>
      </c>
      <c r="J39" s="50" cm="1">
        <f t="array" ref="J39">_xlfn.SWITCH(
    TRUE,
    I39&lt;15,8,
    I39&lt;31,6,
    I39&lt;61,4,
    I39&lt;91,2,
    I39&lt;121,1, I39&gt;120,0
)</f>
        <v>2</v>
      </c>
      <c r="K39" s="23">
        <v>17</v>
      </c>
      <c r="L39" s="50" cm="1">
        <f t="array" ref="L39">_xlfn.SWITCH(
TRUE,K39&lt;5,1, K39&lt;11,2, K39 &lt;16,3, K39 &lt;21, 4,  K39 &lt;25,5, K39 &lt;25,6
)</f>
        <v>4</v>
      </c>
      <c r="M39" s="51">
        <f t="shared" si="3"/>
        <v>17000</v>
      </c>
      <c r="N39" s="52" cm="1">
        <f t="array" ref="N39">_xlfn.SWITCH(
TRUE,
M39&lt;6000,1,
M39&lt;7501,2,
M39&lt;12001,3,
M39&lt;16001,4, M39&lt;20001,5, M39&gt;20000,6
)</f>
        <v>5</v>
      </c>
      <c r="O39" s="24">
        <v>1000</v>
      </c>
      <c r="P39" s="52" cm="1">
        <f t="array" ref="P39">_xlfn.SWITCH(
    TRUE,
    O39&lt;150,1,
    O39&lt;301,2,
    O39&lt;501,3,
    O39&lt;801,4,
    O39&lt;1101,6, O39&gt;1100,8
)</f>
        <v>6</v>
      </c>
      <c r="Q39" s="25">
        <f t="shared" si="4"/>
        <v>26</v>
      </c>
    </row>
  </sheetData>
  <mergeCells count="5">
    <mergeCell ref="E3:H3"/>
    <mergeCell ref="I3:L3"/>
    <mergeCell ref="M3:P3"/>
    <mergeCell ref="Q3:Q4"/>
    <mergeCell ref="S4:A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40A8-0253-4B3E-AB60-8C2FE2808D54}">
  <dimension ref="B3:D15"/>
  <sheetViews>
    <sheetView workbookViewId="0">
      <selection activeCell="C15" sqref="C15"/>
    </sheetView>
  </sheetViews>
  <sheetFormatPr baseColWidth="10" defaultRowHeight="15" x14ac:dyDescent="0.25"/>
  <cols>
    <col min="3" max="3" width="79.85546875" customWidth="1"/>
    <col min="4" max="4" width="82" customWidth="1"/>
  </cols>
  <sheetData>
    <row r="3" spans="2:4" ht="15.75" thickBot="1" x14ac:dyDescent="0.3"/>
    <row r="4" spans="2:4" ht="15.75" thickBot="1" x14ac:dyDescent="0.3">
      <c r="B4" s="9"/>
      <c r="C4" s="10" t="s">
        <v>45</v>
      </c>
      <c r="D4" s="10" t="s">
        <v>46</v>
      </c>
    </row>
    <row r="5" spans="2:4" ht="56.25" customHeight="1" thickBot="1" x14ac:dyDescent="0.3">
      <c r="B5" s="11">
        <v>1</v>
      </c>
      <c r="C5" s="12" t="s">
        <v>81</v>
      </c>
      <c r="D5" s="13" t="s">
        <v>82</v>
      </c>
    </row>
    <row r="6" spans="2:4" ht="45" customHeight="1" thickBot="1" x14ac:dyDescent="0.3">
      <c r="B6" s="11">
        <v>2</v>
      </c>
      <c r="C6" s="12" t="s">
        <v>83</v>
      </c>
      <c r="D6" s="13" t="s">
        <v>84</v>
      </c>
    </row>
    <row r="7" spans="2:4" ht="54.75" customHeight="1" thickBot="1" x14ac:dyDescent="0.3">
      <c r="B7" s="11">
        <v>3</v>
      </c>
      <c r="C7" s="12" t="s">
        <v>85</v>
      </c>
      <c r="D7" s="13" t="s">
        <v>86</v>
      </c>
    </row>
    <row r="8" spans="2:4" ht="81.75" customHeight="1" thickBot="1" x14ac:dyDescent="0.3">
      <c r="B8" s="11">
        <v>4</v>
      </c>
      <c r="C8" s="12" t="s">
        <v>87</v>
      </c>
      <c r="D8" s="13" t="s">
        <v>88</v>
      </c>
    </row>
    <row r="10" spans="2:4" ht="16.5" thickBot="1" x14ac:dyDescent="0.3">
      <c r="C10" s="14" t="s">
        <v>89</v>
      </c>
    </row>
    <row r="11" spans="2:4" ht="40.5" customHeight="1" thickTop="1" thickBot="1" x14ac:dyDescent="0.3">
      <c r="B11" s="15">
        <v>7</v>
      </c>
      <c r="C11" s="16" t="s">
        <v>90</v>
      </c>
      <c r="D11" s="17" t="s">
        <v>91</v>
      </c>
    </row>
    <row r="12" spans="2:4" ht="44.25" customHeight="1" thickTop="1" thickBot="1" x14ac:dyDescent="0.3">
      <c r="B12" s="15">
        <v>8</v>
      </c>
      <c r="C12" s="16" t="s">
        <v>92</v>
      </c>
      <c r="D12" s="17" t="s">
        <v>93</v>
      </c>
    </row>
    <row r="13" spans="2:4" ht="71.25" customHeight="1" thickTop="1" thickBot="1" x14ac:dyDescent="0.3">
      <c r="B13" s="15">
        <v>9</v>
      </c>
      <c r="C13" s="16" t="s">
        <v>94</v>
      </c>
      <c r="D13" s="64" t="s">
        <v>95</v>
      </c>
    </row>
    <row r="14" spans="2:4" ht="60.75" customHeight="1" thickTop="1" thickBot="1" x14ac:dyDescent="0.3">
      <c r="B14" s="15">
        <v>10</v>
      </c>
      <c r="C14" s="16" t="s">
        <v>97</v>
      </c>
      <c r="D14" s="64" t="s">
        <v>96</v>
      </c>
    </row>
    <row r="15" spans="2:4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9D0E-D07F-4E24-A774-5060F0B12827}">
  <dimension ref="A1:X40"/>
  <sheetViews>
    <sheetView topLeftCell="A4" zoomScale="70" zoomScaleNormal="70" workbookViewId="0">
      <selection activeCell="J35" sqref="J35"/>
    </sheetView>
  </sheetViews>
  <sheetFormatPr baseColWidth="10" defaultRowHeight="15" x14ac:dyDescent="0.25"/>
  <cols>
    <col min="7" max="7" width="12.28515625" customWidth="1"/>
    <col min="8" max="8" width="3.5703125" customWidth="1"/>
    <col min="10" max="10" width="13.42578125" customWidth="1"/>
    <col min="21" max="21" width="3.140625" customWidth="1"/>
  </cols>
  <sheetData>
    <row r="1" spans="1:24" ht="18.75" x14ac:dyDescent="0.3">
      <c r="A1" s="18" t="s">
        <v>56</v>
      </c>
      <c r="J1" s="18"/>
    </row>
    <row r="2" spans="1:24" ht="15.75" thickBot="1" x14ac:dyDescent="0.3"/>
    <row r="3" spans="1:24" ht="57" thickBot="1" x14ac:dyDescent="0.35">
      <c r="A3" s="31" t="s">
        <v>58</v>
      </c>
      <c r="B3" s="31" t="s">
        <v>59</v>
      </c>
      <c r="C3" s="31" t="s">
        <v>60</v>
      </c>
      <c r="D3" s="31" t="s">
        <v>61</v>
      </c>
      <c r="E3" s="31" t="s">
        <v>62</v>
      </c>
      <c r="F3" s="31" t="s">
        <v>63</v>
      </c>
      <c r="G3" s="18"/>
      <c r="H3" s="18"/>
      <c r="I3" s="18"/>
      <c r="J3" s="78" t="s">
        <v>65</v>
      </c>
      <c r="K3" s="30"/>
      <c r="L3" s="30"/>
      <c r="M3" s="30"/>
      <c r="N3" s="30"/>
      <c r="O3" s="30"/>
    </row>
    <row r="4" spans="1:24" ht="57" thickBot="1" x14ac:dyDescent="0.3">
      <c r="A4" s="55" t="s">
        <v>1</v>
      </c>
      <c r="B4" s="56">
        <v>31200</v>
      </c>
      <c r="C4" s="57">
        <v>2.8571428571428571E-2</v>
      </c>
      <c r="D4" s="57">
        <f>C4</f>
        <v>2.8571428571428571E-2</v>
      </c>
      <c r="E4" s="57">
        <f>B4/$B$39</f>
        <v>0.16621826802695719</v>
      </c>
      <c r="F4" s="57">
        <f>E4</f>
        <v>0.16621826802695719</v>
      </c>
      <c r="H4" s="38"/>
      <c r="I4" s="36"/>
      <c r="J4" s="79"/>
      <c r="K4" s="36"/>
      <c r="L4" s="36"/>
      <c r="M4" s="36"/>
      <c r="N4" s="36"/>
      <c r="O4" s="36"/>
      <c r="P4" s="36"/>
      <c r="Q4" s="36"/>
      <c r="R4" s="36"/>
      <c r="S4" s="36"/>
      <c r="T4" s="36"/>
      <c r="U4" s="37"/>
      <c r="W4" s="31" t="s">
        <v>61</v>
      </c>
      <c r="X4" s="31" t="s">
        <v>63</v>
      </c>
    </row>
    <row r="5" spans="1:24" ht="15.75" thickBot="1" x14ac:dyDescent="0.3">
      <c r="A5" s="55" t="s">
        <v>30</v>
      </c>
      <c r="B5" s="56">
        <v>27500</v>
      </c>
      <c r="C5" s="57">
        <v>2.8571428571428571E-2</v>
      </c>
      <c r="D5" s="57">
        <f>C5+D4</f>
        <v>5.7142857142857141E-2</v>
      </c>
      <c r="E5" s="57">
        <f t="shared" ref="E5:E38" si="0">B5/$B$39</f>
        <v>0.14650648624170906</v>
      </c>
      <c r="F5" s="57">
        <f>E5+F4</f>
        <v>0.31272475426866625</v>
      </c>
      <c r="H5" s="35"/>
      <c r="J5" s="34"/>
      <c r="U5" s="35"/>
      <c r="W5" s="57">
        <v>2.8571428571428571E-2</v>
      </c>
      <c r="X5" s="57">
        <v>0.16621826802695719</v>
      </c>
    </row>
    <row r="6" spans="1:24" ht="15.75" thickBot="1" x14ac:dyDescent="0.3">
      <c r="A6" s="55" t="s">
        <v>33</v>
      </c>
      <c r="B6" s="56">
        <v>25200</v>
      </c>
      <c r="C6" s="57">
        <v>2.8571428571428571E-2</v>
      </c>
      <c r="D6" s="57">
        <f t="shared" ref="D6:D38" si="1">C6+D5</f>
        <v>8.5714285714285715E-2</v>
      </c>
      <c r="E6" s="57">
        <f t="shared" si="0"/>
        <v>0.13425321648331157</v>
      </c>
      <c r="F6" s="57">
        <f t="shared" ref="F6:F38" si="2">E6+F5</f>
        <v>0.44697797075197782</v>
      </c>
      <c r="H6" s="35"/>
      <c r="U6" s="35"/>
      <c r="W6" s="57">
        <v>5.7142857142857141E-2</v>
      </c>
      <c r="X6" s="57">
        <v>0.31272475426866625</v>
      </c>
    </row>
    <row r="7" spans="1:24" ht="15.75" thickBot="1" x14ac:dyDescent="0.3">
      <c r="A7" s="55" t="s">
        <v>28</v>
      </c>
      <c r="B7" s="56">
        <v>23000</v>
      </c>
      <c r="C7" s="57">
        <v>2.8571428571428571E-2</v>
      </c>
      <c r="D7" s="57">
        <f t="shared" si="1"/>
        <v>0.11428571428571428</v>
      </c>
      <c r="E7" s="57">
        <f t="shared" si="0"/>
        <v>0.12253269758397485</v>
      </c>
      <c r="F7" s="57">
        <f t="shared" si="2"/>
        <v>0.56951066833595265</v>
      </c>
      <c r="H7" s="35"/>
      <c r="U7" s="35"/>
      <c r="W7" s="57">
        <v>8.5714285714285715E-2</v>
      </c>
      <c r="X7" s="57">
        <v>0.44697797075197782</v>
      </c>
    </row>
    <row r="8" spans="1:24" ht="15.75" thickBot="1" x14ac:dyDescent="0.3">
      <c r="A8" s="55" t="s">
        <v>34</v>
      </c>
      <c r="B8" s="56">
        <v>20900</v>
      </c>
      <c r="C8" s="57">
        <v>2.8571428571428571E-2</v>
      </c>
      <c r="D8" s="57">
        <f t="shared" si="1"/>
        <v>0.14285714285714285</v>
      </c>
      <c r="E8" s="57">
        <f t="shared" si="0"/>
        <v>0.11134492954369889</v>
      </c>
      <c r="F8" s="57">
        <f t="shared" si="2"/>
        <v>0.68085559787965155</v>
      </c>
      <c r="H8" s="35"/>
      <c r="U8" s="35"/>
      <c r="W8" s="57">
        <v>0.11428571428571428</v>
      </c>
      <c r="X8" s="57">
        <v>0.56951066833595265</v>
      </c>
    </row>
    <row r="9" spans="1:24" ht="15.75" thickBot="1" x14ac:dyDescent="0.3">
      <c r="A9" s="55" t="s">
        <v>29</v>
      </c>
      <c r="B9" s="56">
        <v>18900</v>
      </c>
      <c r="C9" s="57">
        <v>2.8571428571428571E-2</v>
      </c>
      <c r="D9" s="57">
        <f t="shared" si="1"/>
        <v>0.17142857142857143</v>
      </c>
      <c r="E9" s="57">
        <f t="shared" si="0"/>
        <v>0.10068991236248369</v>
      </c>
      <c r="F9" s="57">
        <f t="shared" si="2"/>
        <v>0.78154551024213526</v>
      </c>
      <c r="H9" s="35"/>
      <c r="U9" s="35"/>
      <c r="W9" s="57">
        <v>0.14285714285714285</v>
      </c>
      <c r="X9" s="57">
        <v>0.68085559787965155</v>
      </c>
    </row>
    <row r="10" spans="1:24" ht="15.75" thickBot="1" x14ac:dyDescent="0.3">
      <c r="A10" s="55" t="s">
        <v>35</v>
      </c>
      <c r="B10" s="56">
        <v>17000</v>
      </c>
      <c r="C10" s="57">
        <v>2.8571428571428571E-2</v>
      </c>
      <c r="D10" s="57">
        <f t="shared" si="1"/>
        <v>0.2</v>
      </c>
      <c r="E10" s="57">
        <f t="shared" si="0"/>
        <v>9.0567646040329242E-2</v>
      </c>
      <c r="F10" s="57">
        <f t="shared" si="2"/>
        <v>0.87211315628246444</v>
      </c>
      <c r="H10" s="35"/>
      <c r="U10" s="35"/>
      <c r="W10" s="57">
        <v>0.17142857142857143</v>
      </c>
      <c r="X10" s="57">
        <v>0.78154551024213526</v>
      </c>
    </row>
    <row r="11" spans="1:24" ht="15.75" thickBot="1" x14ac:dyDescent="0.3">
      <c r="A11" s="58" t="s">
        <v>23</v>
      </c>
      <c r="B11" s="59">
        <v>2340</v>
      </c>
      <c r="C11" s="60">
        <v>2.8571428571428571E-2</v>
      </c>
      <c r="D11" s="60">
        <f t="shared" si="1"/>
        <v>0.22857142857142859</v>
      </c>
      <c r="E11" s="60">
        <f t="shared" si="0"/>
        <v>1.246637010202179E-2</v>
      </c>
      <c r="F11" s="60">
        <f t="shared" si="2"/>
        <v>0.88457952638448623</v>
      </c>
      <c r="H11" s="35"/>
      <c r="U11" s="35"/>
      <c r="W11" s="57">
        <v>0.2</v>
      </c>
      <c r="X11" s="57">
        <v>0.87211315628246444</v>
      </c>
    </row>
    <row r="12" spans="1:24" ht="15.75" thickBot="1" x14ac:dyDescent="0.3">
      <c r="A12" s="58" t="s">
        <v>15</v>
      </c>
      <c r="B12" s="59">
        <v>2040</v>
      </c>
      <c r="C12" s="60">
        <v>2.8571428571428571E-2</v>
      </c>
      <c r="D12" s="60">
        <f t="shared" si="1"/>
        <v>0.25714285714285717</v>
      </c>
      <c r="E12" s="60">
        <f t="shared" si="0"/>
        <v>1.0868117524839509E-2</v>
      </c>
      <c r="F12" s="60">
        <f t="shared" si="2"/>
        <v>0.89544764390932574</v>
      </c>
      <c r="H12" s="35"/>
      <c r="U12" s="35"/>
      <c r="W12" s="60">
        <v>0.22857142857142859</v>
      </c>
      <c r="X12" s="60">
        <v>0.88457952638448623</v>
      </c>
    </row>
    <row r="13" spans="1:24" ht="15.75" thickBot="1" x14ac:dyDescent="0.3">
      <c r="A13" s="58" t="s">
        <v>31</v>
      </c>
      <c r="B13" s="59">
        <v>2000</v>
      </c>
      <c r="C13" s="60">
        <v>2.8571428571428571E-2</v>
      </c>
      <c r="D13" s="60">
        <f t="shared" si="1"/>
        <v>0.28571428571428575</v>
      </c>
      <c r="E13" s="60">
        <f t="shared" si="0"/>
        <v>1.0655017181215205E-2</v>
      </c>
      <c r="F13" s="60">
        <f t="shared" si="2"/>
        <v>0.90610266109054094</v>
      </c>
      <c r="H13" s="35"/>
      <c r="U13" s="35"/>
      <c r="W13" s="60">
        <v>0.25714285714285717</v>
      </c>
      <c r="X13" s="60">
        <v>0.89544764390932574</v>
      </c>
    </row>
    <row r="14" spans="1:24" ht="15.75" thickBot="1" x14ac:dyDescent="0.3">
      <c r="A14" s="58" t="s">
        <v>25</v>
      </c>
      <c r="B14" s="59">
        <v>1715</v>
      </c>
      <c r="C14" s="60">
        <v>2.8571428571428571E-2</v>
      </c>
      <c r="D14" s="60">
        <f t="shared" si="1"/>
        <v>0.31428571428571433</v>
      </c>
      <c r="E14" s="60">
        <f t="shared" si="0"/>
        <v>9.1366772328920383E-3</v>
      </c>
      <c r="F14" s="60">
        <f t="shared" si="2"/>
        <v>0.91523933832343296</v>
      </c>
      <c r="H14" s="35"/>
      <c r="U14" s="35"/>
      <c r="W14" s="60">
        <v>0.28571428571428575</v>
      </c>
      <c r="X14" s="60">
        <v>0.90610266109054094</v>
      </c>
    </row>
    <row r="15" spans="1:24" ht="15.75" thickBot="1" x14ac:dyDescent="0.3">
      <c r="A15" s="58" t="s">
        <v>27</v>
      </c>
      <c r="B15" s="59">
        <v>1680</v>
      </c>
      <c r="C15" s="60">
        <v>2.8571428571428571E-2</v>
      </c>
      <c r="D15" s="60">
        <f t="shared" si="1"/>
        <v>0.34285714285714292</v>
      </c>
      <c r="E15" s="60">
        <f t="shared" si="0"/>
        <v>8.9502144322207728E-3</v>
      </c>
      <c r="F15" s="60">
        <f t="shared" si="2"/>
        <v>0.92418955275565373</v>
      </c>
      <c r="H15" s="35"/>
      <c r="U15" s="35"/>
      <c r="W15" s="60">
        <v>0.31428571428571433</v>
      </c>
      <c r="X15" s="60">
        <v>0.91523933832343296</v>
      </c>
    </row>
    <row r="16" spans="1:24" ht="15.75" thickBot="1" x14ac:dyDescent="0.3">
      <c r="A16" s="58" t="s">
        <v>11</v>
      </c>
      <c r="B16" s="59">
        <v>1410</v>
      </c>
      <c r="C16" s="60">
        <v>2.8571428571428571E-2</v>
      </c>
      <c r="D16" s="60">
        <f t="shared" si="1"/>
        <v>0.3714285714285715</v>
      </c>
      <c r="E16" s="60">
        <f t="shared" si="0"/>
        <v>7.5117871127567196E-3</v>
      </c>
      <c r="F16" s="60">
        <f t="shared" si="2"/>
        <v>0.93170133986841042</v>
      </c>
      <c r="H16" s="35"/>
      <c r="U16" s="35"/>
      <c r="W16" s="60">
        <v>0.34285714285714292</v>
      </c>
      <c r="X16" s="60">
        <v>0.92418955275565373</v>
      </c>
    </row>
    <row r="17" spans="1:24" ht="15.75" thickBot="1" x14ac:dyDescent="0.3">
      <c r="A17" s="58" t="s">
        <v>17</v>
      </c>
      <c r="B17" s="59">
        <v>1380</v>
      </c>
      <c r="C17" s="60">
        <v>2.8571428571428571E-2</v>
      </c>
      <c r="D17" s="60">
        <f t="shared" si="1"/>
        <v>0.40000000000000008</v>
      </c>
      <c r="E17" s="60">
        <f t="shared" si="0"/>
        <v>7.3519618550384911E-3</v>
      </c>
      <c r="F17" s="60">
        <f t="shared" si="2"/>
        <v>0.93905330172344892</v>
      </c>
      <c r="H17" s="35"/>
      <c r="U17" s="35"/>
      <c r="W17" s="60">
        <v>0.3714285714285715</v>
      </c>
      <c r="X17" s="60">
        <v>0.93170133986841042</v>
      </c>
    </row>
    <row r="18" spans="1:24" ht="15.75" thickBot="1" x14ac:dyDescent="0.3">
      <c r="A18" s="58" t="s">
        <v>21</v>
      </c>
      <c r="B18" s="59">
        <v>1350</v>
      </c>
      <c r="C18" s="60">
        <v>2.8571428571428571E-2</v>
      </c>
      <c r="D18" s="60">
        <f t="shared" si="1"/>
        <v>0.42857142857142866</v>
      </c>
      <c r="E18" s="60">
        <f t="shared" si="0"/>
        <v>7.1921365973202636E-3</v>
      </c>
      <c r="F18" s="60">
        <f t="shared" si="2"/>
        <v>0.94624543832076913</v>
      </c>
      <c r="H18" s="35"/>
      <c r="U18" s="35"/>
      <c r="W18" s="60">
        <v>0.40000000000000008</v>
      </c>
      <c r="X18" s="60">
        <v>0.93905330172344892</v>
      </c>
    </row>
    <row r="19" spans="1:24" ht="15.75" thickBot="1" x14ac:dyDescent="0.3">
      <c r="A19" s="58" t="s">
        <v>18</v>
      </c>
      <c r="B19" s="59">
        <v>1100</v>
      </c>
      <c r="C19" s="60">
        <v>2.8571428571428571E-2</v>
      </c>
      <c r="D19" s="60">
        <f t="shared" si="1"/>
        <v>0.45714285714285724</v>
      </c>
      <c r="E19" s="60">
        <f t="shared" si="0"/>
        <v>5.8602594496683629E-3</v>
      </c>
      <c r="F19" s="60">
        <f t="shared" si="2"/>
        <v>0.95210569777043752</v>
      </c>
      <c r="H19" s="35"/>
      <c r="U19" s="35"/>
      <c r="W19" s="60">
        <v>0.42857142857142866</v>
      </c>
      <c r="X19" s="60">
        <v>0.94624543832076913</v>
      </c>
    </row>
    <row r="20" spans="1:24" ht="15.75" thickBot="1" x14ac:dyDescent="0.3">
      <c r="A20" s="58" t="s">
        <v>26</v>
      </c>
      <c r="B20" s="59">
        <v>1075</v>
      </c>
      <c r="C20" s="60">
        <v>2.8571428571428571E-2</v>
      </c>
      <c r="D20" s="60">
        <f t="shared" si="1"/>
        <v>0.48571428571428582</v>
      </c>
      <c r="E20" s="60">
        <f t="shared" si="0"/>
        <v>5.7270717349031724E-3</v>
      </c>
      <c r="F20" s="60">
        <f t="shared" si="2"/>
        <v>0.95783276950534069</v>
      </c>
      <c r="H20" s="35"/>
      <c r="U20" s="35"/>
      <c r="W20" s="60">
        <v>0.45714285714285724</v>
      </c>
      <c r="X20" s="60">
        <v>0.95210569777043752</v>
      </c>
    </row>
    <row r="21" spans="1:24" ht="15.75" thickBot="1" x14ac:dyDescent="0.3">
      <c r="A21" s="58" t="s">
        <v>7</v>
      </c>
      <c r="B21" s="59">
        <v>1050</v>
      </c>
      <c r="C21" s="60">
        <v>2.8571428571428571E-2</v>
      </c>
      <c r="D21" s="60">
        <f t="shared" si="1"/>
        <v>0.51428571428571435</v>
      </c>
      <c r="E21" s="60">
        <f t="shared" si="0"/>
        <v>5.5938840201379828E-3</v>
      </c>
      <c r="F21" s="60">
        <f t="shared" si="2"/>
        <v>0.96342665352547863</v>
      </c>
      <c r="H21" s="35"/>
      <c r="U21" s="35"/>
      <c r="W21" s="60">
        <v>0.48571428571428582</v>
      </c>
      <c r="X21" s="60">
        <v>0.95783276950534069</v>
      </c>
    </row>
    <row r="22" spans="1:24" ht="15.75" thickBot="1" x14ac:dyDescent="0.3">
      <c r="A22" s="58" t="s">
        <v>19</v>
      </c>
      <c r="B22" s="59">
        <v>820</v>
      </c>
      <c r="C22" s="60">
        <v>2.8571428571428571E-2</v>
      </c>
      <c r="D22" s="60">
        <f t="shared" si="1"/>
        <v>0.54285714285714293</v>
      </c>
      <c r="E22" s="60">
        <f t="shared" si="0"/>
        <v>4.3685570442982338E-3</v>
      </c>
      <c r="F22" s="60">
        <f t="shared" si="2"/>
        <v>0.96779521056977691</v>
      </c>
      <c r="H22" s="35"/>
      <c r="U22" s="35"/>
      <c r="W22" s="60">
        <v>0.51428571428571435</v>
      </c>
      <c r="X22" s="60">
        <v>0.96342665352547863</v>
      </c>
    </row>
    <row r="23" spans="1:24" ht="15.75" thickBot="1" x14ac:dyDescent="0.3">
      <c r="A23" s="58" t="s">
        <v>24</v>
      </c>
      <c r="B23" s="59">
        <v>800</v>
      </c>
      <c r="C23" s="60">
        <v>2.8571428571428571E-2</v>
      </c>
      <c r="D23" s="60">
        <f t="shared" si="1"/>
        <v>0.57142857142857151</v>
      </c>
      <c r="E23" s="60">
        <f t="shared" si="0"/>
        <v>4.2620068724860821E-3</v>
      </c>
      <c r="F23" s="60">
        <f t="shared" si="2"/>
        <v>0.97205721744226303</v>
      </c>
      <c r="H23" s="35"/>
      <c r="U23" s="35"/>
      <c r="W23" s="60">
        <v>0.54285714285714293</v>
      </c>
      <c r="X23" s="60">
        <v>0.96779521056977691</v>
      </c>
    </row>
    <row r="24" spans="1:24" ht="15.75" thickBot="1" x14ac:dyDescent="0.3">
      <c r="A24" s="58" t="s">
        <v>32</v>
      </c>
      <c r="B24" s="59">
        <v>780</v>
      </c>
      <c r="C24" s="60">
        <v>2.8571428571428571E-2</v>
      </c>
      <c r="D24" s="60">
        <f t="shared" si="1"/>
        <v>0.60000000000000009</v>
      </c>
      <c r="E24" s="60">
        <f t="shared" si="0"/>
        <v>4.1554567006739295E-3</v>
      </c>
      <c r="F24" s="60">
        <f t="shared" si="2"/>
        <v>0.976212674142937</v>
      </c>
      <c r="H24" s="35"/>
      <c r="U24" s="35"/>
      <c r="W24" s="60">
        <v>0.57142857142857151</v>
      </c>
      <c r="X24" s="60">
        <v>0.97205721744226303</v>
      </c>
    </row>
    <row r="25" spans="1:24" ht="15.75" thickBot="1" x14ac:dyDescent="0.3">
      <c r="A25" s="58" t="s">
        <v>5</v>
      </c>
      <c r="B25" s="59">
        <v>570</v>
      </c>
      <c r="C25" s="60">
        <v>2.8571428571428571E-2</v>
      </c>
      <c r="D25" s="60">
        <f t="shared" si="1"/>
        <v>0.62857142857142867</v>
      </c>
      <c r="E25" s="60">
        <f t="shared" si="0"/>
        <v>3.0366798966463332E-3</v>
      </c>
      <c r="F25" s="60">
        <f t="shared" si="2"/>
        <v>0.97924935403958335</v>
      </c>
      <c r="H25" s="35"/>
      <c r="U25" s="35"/>
      <c r="W25" s="60">
        <v>0.60000000000000009</v>
      </c>
      <c r="X25" s="60">
        <v>0.976212674142937</v>
      </c>
    </row>
    <row r="26" spans="1:24" ht="15.75" thickBot="1" x14ac:dyDescent="0.3">
      <c r="A26" s="58" t="s">
        <v>12</v>
      </c>
      <c r="B26" s="59">
        <v>555</v>
      </c>
      <c r="C26" s="60">
        <v>2.8571428571428571E-2</v>
      </c>
      <c r="D26" s="60">
        <f t="shared" si="1"/>
        <v>0.65714285714285725</v>
      </c>
      <c r="E26" s="60">
        <f t="shared" si="0"/>
        <v>2.9567672677872194E-3</v>
      </c>
      <c r="F26" s="60">
        <f t="shared" si="2"/>
        <v>0.98220612130737062</v>
      </c>
      <c r="H26" s="35"/>
      <c r="U26" s="35"/>
      <c r="W26" s="60">
        <v>0.62857142857142867</v>
      </c>
      <c r="X26" s="60">
        <v>0.97924935403958335</v>
      </c>
    </row>
    <row r="27" spans="1:24" ht="15.75" thickBot="1" x14ac:dyDescent="0.3">
      <c r="A27" s="58" t="s">
        <v>22</v>
      </c>
      <c r="B27" s="59">
        <v>540</v>
      </c>
      <c r="C27" s="60">
        <v>2.8571428571428571E-2</v>
      </c>
      <c r="D27" s="60">
        <f t="shared" si="1"/>
        <v>0.68571428571428583</v>
      </c>
      <c r="E27" s="60">
        <f t="shared" si="0"/>
        <v>2.8768546389281052E-3</v>
      </c>
      <c r="F27" s="60">
        <f t="shared" si="2"/>
        <v>0.98508297594629868</v>
      </c>
      <c r="H27" s="35"/>
      <c r="U27" s="35"/>
      <c r="W27" s="60">
        <v>0.65714285714285725</v>
      </c>
      <c r="X27" s="60">
        <v>0.98220612130737062</v>
      </c>
    </row>
    <row r="28" spans="1:24" ht="15.75" thickBot="1" x14ac:dyDescent="0.3">
      <c r="A28" s="58" t="s">
        <v>8</v>
      </c>
      <c r="B28" s="59">
        <v>525</v>
      </c>
      <c r="C28" s="60">
        <v>2.8571428571428571E-2</v>
      </c>
      <c r="D28" s="60">
        <f t="shared" si="1"/>
        <v>0.71428571428571441</v>
      </c>
      <c r="E28" s="60">
        <f t="shared" si="0"/>
        <v>2.7969420100689914E-3</v>
      </c>
      <c r="F28" s="60">
        <f t="shared" si="2"/>
        <v>0.98787991795636765</v>
      </c>
      <c r="H28" s="35"/>
      <c r="U28" s="35"/>
      <c r="W28" s="60">
        <v>0.68571428571428583</v>
      </c>
      <c r="X28" s="60">
        <v>0.98508297594629868</v>
      </c>
    </row>
    <row r="29" spans="1:24" ht="15.75" thickBot="1" x14ac:dyDescent="0.3">
      <c r="A29" s="58" t="s">
        <v>3</v>
      </c>
      <c r="B29" s="59">
        <v>340</v>
      </c>
      <c r="C29" s="60">
        <v>2.8571428571428571E-2</v>
      </c>
      <c r="D29" s="60">
        <f t="shared" si="1"/>
        <v>0.74285714285714299</v>
      </c>
      <c r="E29" s="60">
        <f t="shared" si="0"/>
        <v>1.8113529208065849E-3</v>
      </c>
      <c r="F29" s="60">
        <f t="shared" si="2"/>
        <v>0.98969127087717423</v>
      </c>
      <c r="H29" s="35"/>
      <c r="U29" s="35"/>
      <c r="W29" s="60">
        <v>0.71428571428571441</v>
      </c>
      <c r="X29" s="60">
        <v>0.98787991795636765</v>
      </c>
    </row>
    <row r="30" spans="1:24" ht="15.75" thickBot="1" x14ac:dyDescent="0.3">
      <c r="A30" s="58" t="s">
        <v>14</v>
      </c>
      <c r="B30" s="59">
        <v>330</v>
      </c>
      <c r="C30" s="60">
        <v>2.8571428571428571E-2</v>
      </c>
      <c r="D30" s="60">
        <f t="shared" si="1"/>
        <v>0.77142857142857157</v>
      </c>
      <c r="E30" s="60">
        <f t="shared" si="0"/>
        <v>1.7580778349005088E-3</v>
      </c>
      <c r="F30" s="60">
        <f t="shared" si="2"/>
        <v>0.9914493487120748</v>
      </c>
      <c r="H30" s="35"/>
      <c r="U30" s="35"/>
      <c r="W30" s="60">
        <v>0.74285714285714299</v>
      </c>
      <c r="X30" s="60">
        <v>0.98969127087717423</v>
      </c>
    </row>
    <row r="31" spans="1:24" ht="15.75" thickBot="1" x14ac:dyDescent="0.3">
      <c r="A31" s="58" t="s">
        <v>20</v>
      </c>
      <c r="B31" s="59">
        <v>320</v>
      </c>
      <c r="C31" s="60">
        <v>2.8571428571428571E-2</v>
      </c>
      <c r="D31" s="60">
        <f t="shared" si="1"/>
        <v>0.80000000000000016</v>
      </c>
      <c r="E31" s="60">
        <f t="shared" si="0"/>
        <v>1.7048027489944327E-3</v>
      </c>
      <c r="F31" s="60">
        <f t="shared" si="2"/>
        <v>0.99315415146106922</v>
      </c>
      <c r="H31" s="35"/>
      <c r="U31" s="35"/>
      <c r="W31" s="60">
        <v>0.77142857142857157</v>
      </c>
      <c r="X31" s="60">
        <v>0.9914493487120748</v>
      </c>
    </row>
    <row r="32" spans="1:24" ht="15.75" thickBot="1" x14ac:dyDescent="0.3">
      <c r="A32" s="58" t="s">
        <v>6</v>
      </c>
      <c r="B32" s="59">
        <v>310</v>
      </c>
      <c r="C32" s="60">
        <v>2.8571428571428571E-2</v>
      </c>
      <c r="D32" s="60">
        <f t="shared" si="1"/>
        <v>0.82857142857142874</v>
      </c>
      <c r="E32" s="60">
        <f t="shared" si="0"/>
        <v>1.6515276630883566E-3</v>
      </c>
      <c r="F32" s="60">
        <f t="shared" si="2"/>
        <v>0.99480567912415763</v>
      </c>
      <c r="H32" s="35"/>
      <c r="U32" s="35"/>
      <c r="W32" s="60">
        <v>0.80000000000000016</v>
      </c>
      <c r="X32" s="60">
        <v>0.99315415146106922</v>
      </c>
    </row>
    <row r="33" spans="1:24" ht="15.75" thickBot="1" x14ac:dyDescent="0.3">
      <c r="A33" s="58" t="s">
        <v>13</v>
      </c>
      <c r="B33" s="59">
        <v>300</v>
      </c>
      <c r="C33" s="60">
        <v>2.8571428571428571E-2</v>
      </c>
      <c r="D33" s="60">
        <f t="shared" si="1"/>
        <v>0.85714285714285732</v>
      </c>
      <c r="E33" s="60">
        <f t="shared" si="0"/>
        <v>1.5982525771822808E-3</v>
      </c>
      <c r="F33" s="60">
        <f t="shared" si="2"/>
        <v>0.9964039317013399</v>
      </c>
      <c r="H33" s="35"/>
      <c r="U33" s="35"/>
      <c r="W33" s="60">
        <v>0.82857142857142874</v>
      </c>
      <c r="X33" s="60">
        <v>0.99480567912415763</v>
      </c>
    </row>
    <row r="34" spans="1:24" ht="15.75" thickBot="1" x14ac:dyDescent="0.3">
      <c r="A34" s="58" t="s">
        <v>2</v>
      </c>
      <c r="B34" s="59">
        <v>145</v>
      </c>
      <c r="C34" s="60">
        <v>2.8571428571428571E-2</v>
      </c>
      <c r="D34" s="60">
        <f t="shared" si="1"/>
        <v>0.8857142857142859</v>
      </c>
      <c r="E34" s="60">
        <f t="shared" si="0"/>
        <v>7.7248874563810236E-4</v>
      </c>
      <c r="F34" s="60">
        <f t="shared" si="2"/>
        <v>0.99717642044697796</v>
      </c>
      <c r="H34" s="35"/>
      <c r="U34" s="35"/>
      <c r="W34" s="60">
        <v>0.85714285714285732</v>
      </c>
      <c r="X34" s="60">
        <v>0.9964039317013399</v>
      </c>
    </row>
    <row r="35" spans="1:24" ht="15.75" thickBot="1" x14ac:dyDescent="0.3">
      <c r="A35" s="58" t="s">
        <v>4</v>
      </c>
      <c r="B35" s="59">
        <v>140</v>
      </c>
      <c r="C35" s="60">
        <v>2.8571428571428571E-2</v>
      </c>
      <c r="D35" s="60">
        <f t="shared" si="1"/>
        <v>0.91428571428571448</v>
      </c>
      <c r="E35" s="60">
        <f t="shared" si="0"/>
        <v>7.4585120268506433E-4</v>
      </c>
      <c r="F35" s="60">
        <f t="shared" si="2"/>
        <v>0.99792227164966307</v>
      </c>
      <c r="H35" s="3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40"/>
      <c r="W35" s="60">
        <v>0.8857142857142859</v>
      </c>
      <c r="X35" s="60">
        <v>0.99717642044697796</v>
      </c>
    </row>
    <row r="36" spans="1:24" ht="15.75" thickBot="1" x14ac:dyDescent="0.3">
      <c r="A36" s="58" t="s">
        <v>9</v>
      </c>
      <c r="B36" s="59">
        <v>135</v>
      </c>
      <c r="C36" s="60">
        <v>2.8571428571428571E-2</v>
      </c>
      <c r="D36" s="60">
        <f t="shared" si="1"/>
        <v>0.94285714285714306</v>
      </c>
      <c r="E36" s="60">
        <f t="shared" si="0"/>
        <v>7.1921365973202629E-4</v>
      </c>
      <c r="F36" s="60">
        <f t="shared" si="2"/>
        <v>0.99864148530939512</v>
      </c>
      <c r="W36" s="60">
        <v>0.91428571428571448</v>
      </c>
      <c r="X36" s="60">
        <v>0.99792227164966307</v>
      </c>
    </row>
    <row r="37" spans="1:24" ht="15.75" thickBot="1" x14ac:dyDescent="0.3">
      <c r="A37" s="58" t="s">
        <v>10</v>
      </c>
      <c r="B37" s="59">
        <v>130</v>
      </c>
      <c r="C37" s="60">
        <v>2.8571428571428571E-2</v>
      </c>
      <c r="D37" s="60">
        <f t="shared" si="1"/>
        <v>0.97142857142857164</v>
      </c>
      <c r="E37" s="60">
        <f t="shared" si="0"/>
        <v>6.9257611677898826E-4</v>
      </c>
      <c r="F37" s="60">
        <f t="shared" si="2"/>
        <v>0.99933406142617409</v>
      </c>
      <c r="W37" s="60">
        <v>0.94285714285714306</v>
      </c>
      <c r="X37" s="60">
        <v>0.99864148530939512</v>
      </c>
    </row>
    <row r="38" spans="1:24" ht="15.75" thickBot="1" x14ac:dyDescent="0.3">
      <c r="A38" s="58" t="s">
        <v>16</v>
      </c>
      <c r="B38" s="59">
        <v>125</v>
      </c>
      <c r="C38" s="60">
        <v>2.8571428571428571E-2</v>
      </c>
      <c r="D38" s="60">
        <f t="shared" si="1"/>
        <v>1.0000000000000002</v>
      </c>
      <c r="E38" s="60">
        <f t="shared" si="0"/>
        <v>6.6593857382595033E-4</v>
      </c>
      <c r="F38" s="60">
        <f t="shared" si="2"/>
        <v>1</v>
      </c>
      <c r="W38" s="60">
        <v>0.97142857142857164</v>
      </c>
      <c r="X38" s="60">
        <v>0.99933406142617409</v>
      </c>
    </row>
    <row r="39" spans="1:24" ht="15.75" thickBot="1" x14ac:dyDescent="0.3">
      <c r="A39" s="32" t="s">
        <v>64</v>
      </c>
      <c r="B39" s="33">
        <f>SUM(B4:B38)</f>
        <v>187705</v>
      </c>
      <c r="C39" s="33">
        <f t="shared" ref="C39" si="3">SUM(C4:C38)</f>
        <v>1.0000000000000002</v>
      </c>
      <c r="D39" s="33"/>
      <c r="E39" s="33"/>
      <c r="F39" s="33"/>
      <c r="W39" s="60">
        <v>1.0000000000000002</v>
      </c>
      <c r="X39" s="60">
        <v>1</v>
      </c>
    </row>
    <row r="40" spans="1:24" ht="15.75" thickBot="1" x14ac:dyDescent="0.3">
      <c r="A40">
        <v>40</v>
      </c>
      <c r="C40" s="54"/>
    </row>
  </sheetData>
  <sortState xmlns:xlrd2="http://schemas.microsoft.com/office/spreadsheetml/2017/richdata2" ref="A4:F38">
    <sortCondition descending="1" ref="B4:B38"/>
  </sortState>
  <mergeCells count="1">
    <mergeCell ref="J3:J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9025-1936-4A5D-BAA5-E43EEB6C409D}">
  <dimension ref="A1:Y39"/>
  <sheetViews>
    <sheetView zoomScale="70" zoomScaleNormal="70" workbookViewId="0">
      <selection activeCell="N44" sqref="N44"/>
    </sheetView>
  </sheetViews>
  <sheetFormatPr baseColWidth="10" defaultRowHeight="15" x14ac:dyDescent="0.25"/>
  <cols>
    <col min="8" max="8" width="4" customWidth="1"/>
    <col min="10" max="10" width="13.140625" customWidth="1"/>
    <col min="21" max="21" width="3.7109375" customWidth="1"/>
  </cols>
  <sheetData>
    <row r="1" spans="1:25" ht="18.75" x14ac:dyDescent="0.3">
      <c r="A1" s="18" t="s">
        <v>57</v>
      </c>
    </row>
    <row r="2" spans="1:25" ht="15.75" thickBot="1" x14ac:dyDescent="0.3"/>
    <row r="3" spans="1:25" ht="57" thickBot="1" x14ac:dyDescent="0.35">
      <c r="A3" s="31" t="s">
        <v>58</v>
      </c>
      <c r="B3" s="31" t="s">
        <v>59</v>
      </c>
      <c r="C3" s="31" t="s">
        <v>60</v>
      </c>
      <c r="D3" s="31" t="s">
        <v>61</v>
      </c>
      <c r="E3" s="31" t="s">
        <v>62</v>
      </c>
      <c r="F3" s="31" t="s">
        <v>63</v>
      </c>
      <c r="H3" s="18"/>
      <c r="I3" s="18"/>
      <c r="J3" s="78" t="s">
        <v>65</v>
      </c>
      <c r="K3" s="30"/>
      <c r="L3" s="30"/>
      <c r="M3" s="30"/>
      <c r="N3" s="30"/>
      <c r="O3" s="30"/>
      <c r="X3" s="31" t="s">
        <v>61</v>
      </c>
      <c r="Y3" s="31" t="s">
        <v>63</v>
      </c>
    </row>
    <row r="4" spans="1:25" ht="15.75" thickBot="1" x14ac:dyDescent="0.3">
      <c r="A4" s="55" t="s">
        <v>1</v>
      </c>
      <c r="B4" s="56">
        <v>31200</v>
      </c>
      <c r="C4" s="57">
        <v>2.8571428571428571E-2</v>
      </c>
      <c r="D4" s="57">
        <f>C4</f>
        <v>2.8571428571428571E-2</v>
      </c>
      <c r="E4" s="57">
        <f>B4/$B$39</f>
        <v>0.16621826802695719</v>
      </c>
      <c r="F4" s="57">
        <f>E4</f>
        <v>0.16621826802695719</v>
      </c>
      <c r="H4" s="38"/>
      <c r="I4" s="36"/>
      <c r="J4" s="79"/>
      <c r="K4" s="36"/>
      <c r="L4" s="36"/>
      <c r="M4" s="36"/>
      <c r="N4" s="36"/>
      <c r="O4" s="36"/>
      <c r="P4" s="36"/>
      <c r="Q4" s="36"/>
      <c r="R4" s="36"/>
      <c r="S4" s="36"/>
      <c r="T4" s="36"/>
      <c r="U4" s="37"/>
      <c r="X4" s="57">
        <v>2.8571428571428571E-2</v>
      </c>
      <c r="Y4" s="57">
        <v>0.16621826802695719</v>
      </c>
    </row>
    <row r="5" spans="1:25" ht="15.75" thickBot="1" x14ac:dyDescent="0.3">
      <c r="A5" s="55" t="s">
        <v>30</v>
      </c>
      <c r="B5" s="56">
        <v>27500</v>
      </c>
      <c r="C5" s="57">
        <v>2.8571428571428571E-2</v>
      </c>
      <c r="D5" s="57">
        <f>C5+D4</f>
        <v>5.7142857142857141E-2</v>
      </c>
      <c r="E5" s="57">
        <f t="shared" ref="E5:E38" si="0">B5/$B$39</f>
        <v>0.14650648624170906</v>
      </c>
      <c r="F5" s="57">
        <f>E5+F4</f>
        <v>0.31272475426866625</v>
      </c>
      <c r="H5" s="35"/>
      <c r="J5" s="34"/>
      <c r="U5" s="35"/>
      <c r="X5" s="57">
        <v>5.7142857142857141E-2</v>
      </c>
      <c r="Y5" s="57">
        <v>0.31272475426866625</v>
      </c>
    </row>
    <row r="6" spans="1:25" ht="15.75" thickBot="1" x14ac:dyDescent="0.3">
      <c r="A6" s="55" t="s">
        <v>33</v>
      </c>
      <c r="B6" s="56">
        <v>25200</v>
      </c>
      <c r="C6" s="57">
        <v>2.8571428571428571E-2</v>
      </c>
      <c r="D6" s="57">
        <f t="shared" ref="D6:D38" si="1">C6+D5</f>
        <v>8.5714285714285715E-2</v>
      </c>
      <c r="E6" s="57">
        <f t="shared" si="0"/>
        <v>0.13425321648331157</v>
      </c>
      <c r="F6" s="57">
        <f t="shared" ref="F6:F38" si="2">E6+F5</f>
        <v>0.44697797075197782</v>
      </c>
      <c r="H6" s="35"/>
      <c r="U6" s="35"/>
      <c r="X6" s="57">
        <v>8.5714285714285715E-2</v>
      </c>
      <c r="Y6" s="57">
        <v>0.44697797075197782</v>
      </c>
    </row>
    <row r="7" spans="1:25" ht="15.75" thickBot="1" x14ac:dyDescent="0.3">
      <c r="A7" s="55" t="s">
        <v>28</v>
      </c>
      <c r="B7" s="56">
        <v>23000</v>
      </c>
      <c r="C7" s="57">
        <v>2.8571428571428571E-2</v>
      </c>
      <c r="D7" s="57">
        <f t="shared" si="1"/>
        <v>0.11428571428571428</v>
      </c>
      <c r="E7" s="57">
        <f t="shared" si="0"/>
        <v>0.12253269758397485</v>
      </c>
      <c r="F7" s="57">
        <f t="shared" si="2"/>
        <v>0.56951066833595265</v>
      </c>
      <c r="H7" s="35"/>
      <c r="U7" s="35"/>
      <c r="X7" s="57">
        <v>0.11428571428571428</v>
      </c>
      <c r="Y7" s="57">
        <v>0.56951066833595265</v>
      </c>
    </row>
    <row r="8" spans="1:25" ht="15.75" thickBot="1" x14ac:dyDescent="0.3">
      <c r="A8" s="55" t="s">
        <v>34</v>
      </c>
      <c r="B8" s="56">
        <v>20900</v>
      </c>
      <c r="C8" s="57">
        <v>2.8571428571428571E-2</v>
      </c>
      <c r="D8" s="57">
        <f t="shared" si="1"/>
        <v>0.14285714285714285</v>
      </c>
      <c r="E8" s="57">
        <f t="shared" si="0"/>
        <v>0.11134492954369889</v>
      </c>
      <c r="F8" s="57">
        <f t="shared" si="2"/>
        <v>0.68085559787965155</v>
      </c>
      <c r="H8" s="35"/>
      <c r="U8" s="35"/>
      <c r="X8" s="57">
        <v>0.14285714285714285</v>
      </c>
      <c r="Y8" s="57">
        <v>0.68085559787965155</v>
      </c>
    </row>
    <row r="9" spans="1:25" ht="15.75" thickBot="1" x14ac:dyDescent="0.3">
      <c r="A9" s="55" t="s">
        <v>29</v>
      </c>
      <c r="B9" s="56">
        <v>18900</v>
      </c>
      <c r="C9" s="57">
        <v>2.8571428571428571E-2</v>
      </c>
      <c r="D9" s="57">
        <f t="shared" si="1"/>
        <v>0.17142857142857143</v>
      </c>
      <c r="E9" s="57">
        <f t="shared" si="0"/>
        <v>0.10068991236248369</v>
      </c>
      <c r="F9" s="57">
        <f t="shared" si="2"/>
        <v>0.78154551024213526</v>
      </c>
      <c r="H9" s="35"/>
      <c r="U9" s="35"/>
      <c r="X9" s="57">
        <v>0.17142857142857143</v>
      </c>
      <c r="Y9" s="57">
        <v>0.78154551024213526</v>
      </c>
    </row>
    <row r="10" spans="1:25" ht="15.75" thickBot="1" x14ac:dyDescent="0.3">
      <c r="A10" s="55" t="s">
        <v>35</v>
      </c>
      <c r="B10" s="56">
        <v>17000</v>
      </c>
      <c r="C10" s="57">
        <v>2.8571428571428571E-2</v>
      </c>
      <c r="D10" s="57">
        <f t="shared" si="1"/>
        <v>0.2</v>
      </c>
      <c r="E10" s="57">
        <f t="shared" si="0"/>
        <v>9.0567646040329242E-2</v>
      </c>
      <c r="F10" s="57">
        <f t="shared" si="2"/>
        <v>0.87211315628246444</v>
      </c>
      <c r="H10" s="35"/>
      <c r="U10" s="35"/>
      <c r="X10" s="57">
        <v>0.2</v>
      </c>
      <c r="Y10" s="57">
        <v>0.87211315628246444</v>
      </c>
    </row>
    <row r="11" spans="1:25" ht="15.75" thickBot="1" x14ac:dyDescent="0.3">
      <c r="A11" s="61" t="s">
        <v>23</v>
      </c>
      <c r="B11" s="62">
        <v>2340</v>
      </c>
      <c r="C11" s="63">
        <v>2.8571428571428571E-2</v>
      </c>
      <c r="D11" s="63">
        <f t="shared" si="1"/>
        <v>0.22857142857142859</v>
      </c>
      <c r="E11" s="63">
        <f t="shared" si="0"/>
        <v>1.246637010202179E-2</v>
      </c>
      <c r="F11" s="63">
        <f t="shared" si="2"/>
        <v>0.88457952638448623</v>
      </c>
      <c r="H11" s="35"/>
      <c r="U11" s="35"/>
      <c r="X11" s="63">
        <v>0.22857142857142859</v>
      </c>
      <c r="Y11" s="63">
        <v>0.88457952638448623</v>
      </c>
    </row>
    <row r="12" spans="1:25" ht="15.75" thickBot="1" x14ac:dyDescent="0.3">
      <c r="A12" s="61" t="s">
        <v>15</v>
      </c>
      <c r="B12" s="62">
        <v>2040</v>
      </c>
      <c r="C12" s="63">
        <v>2.8571428571428571E-2</v>
      </c>
      <c r="D12" s="63">
        <f t="shared" si="1"/>
        <v>0.25714285714285717</v>
      </c>
      <c r="E12" s="63">
        <f t="shared" si="0"/>
        <v>1.0868117524839509E-2</v>
      </c>
      <c r="F12" s="63">
        <f t="shared" si="2"/>
        <v>0.89544764390932574</v>
      </c>
      <c r="H12" s="35"/>
      <c r="U12" s="35"/>
      <c r="X12" s="63">
        <v>0.25714285714285717</v>
      </c>
      <c r="Y12" s="63">
        <v>0.89544764390932574</v>
      </c>
    </row>
    <row r="13" spans="1:25" ht="15.75" thickBot="1" x14ac:dyDescent="0.3">
      <c r="A13" s="61" t="s">
        <v>31</v>
      </c>
      <c r="B13" s="62">
        <v>2000</v>
      </c>
      <c r="C13" s="63">
        <v>2.8571428571428571E-2</v>
      </c>
      <c r="D13" s="63">
        <f t="shared" si="1"/>
        <v>0.28571428571428575</v>
      </c>
      <c r="E13" s="63">
        <f t="shared" si="0"/>
        <v>1.0655017181215205E-2</v>
      </c>
      <c r="F13" s="63">
        <f t="shared" si="2"/>
        <v>0.90610266109054094</v>
      </c>
      <c r="H13" s="35"/>
      <c r="U13" s="35"/>
      <c r="X13" s="63">
        <v>0.28571428571428575</v>
      </c>
      <c r="Y13" s="63">
        <v>0.90610266109054094</v>
      </c>
    </row>
    <row r="14" spans="1:25" ht="15.75" thickBot="1" x14ac:dyDescent="0.3">
      <c r="A14" s="61" t="s">
        <v>25</v>
      </c>
      <c r="B14" s="62">
        <v>1715</v>
      </c>
      <c r="C14" s="63">
        <v>2.8571428571428571E-2</v>
      </c>
      <c r="D14" s="63">
        <f t="shared" si="1"/>
        <v>0.31428571428571433</v>
      </c>
      <c r="E14" s="63">
        <f t="shared" si="0"/>
        <v>9.1366772328920383E-3</v>
      </c>
      <c r="F14" s="63">
        <f t="shared" si="2"/>
        <v>0.91523933832343296</v>
      </c>
      <c r="H14" s="35"/>
      <c r="U14" s="35"/>
      <c r="X14" s="63">
        <v>0.31428571428571433</v>
      </c>
      <c r="Y14" s="63">
        <v>0.91523933832343296</v>
      </c>
    </row>
    <row r="15" spans="1:25" ht="15.75" thickBot="1" x14ac:dyDescent="0.3">
      <c r="A15" s="61" t="s">
        <v>27</v>
      </c>
      <c r="B15" s="62">
        <v>1680</v>
      </c>
      <c r="C15" s="63">
        <v>2.8571428571428571E-2</v>
      </c>
      <c r="D15" s="63">
        <f t="shared" si="1"/>
        <v>0.34285714285714292</v>
      </c>
      <c r="E15" s="63">
        <f t="shared" si="0"/>
        <v>8.9502144322207728E-3</v>
      </c>
      <c r="F15" s="63">
        <f t="shared" si="2"/>
        <v>0.92418955275565373</v>
      </c>
      <c r="H15" s="35"/>
      <c r="U15" s="35"/>
      <c r="X15" s="63">
        <v>0.34285714285714292</v>
      </c>
      <c r="Y15" s="63">
        <v>0.92418955275565373</v>
      </c>
    </row>
    <row r="16" spans="1:25" ht="15.75" thickBot="1" x14ac:dyDescent="0.3">
      <c r="A16" s="61" t="s">
        <v>11</v>
      </c>
      <c r="B16" s="62">
        <v>1410</v>
      </c>
      <c r="C16" s="63">
        <v>2.8571428571428571E-2</v>
      </c>
      <c r="D16" s="63">
        <f t="shared" si="1"/>
        <v>0.3714285714285715</v>
      </c>
      <c r="E16" s="63">
        <f t="shared" si="0"/>
        <v>7.5117871127567196E-3</v>
      </c>
      <c r="F16" s="63">
        <f t="shared" si="2"/>
        <v>0.93170133986841042</v>
      </c>
      <c r="H16" s="35"/>
      <c r="U16" s="35"/>
      <c r="X16" s="63">
        <v>0.3714285714285715</v>
      </c>
      <c r="Y16" s="63">
        <v>0.93170133986841042</v>
      </c>
    </row>
    <row r="17" spans="1:25" ht="15.75" thickBot="1" x14ac:dyDescent="0.3">
      <c r="A17" s="61" t="s">
        <v>17</v>
      </c>
      <c r="B17" s="62">
        <v>1380</v>
      </c>
      <c r="C17" s="63">
        <v>2.8571428571428571E-2</v>
      </c>
      <c r="D17" s="63">
        <f t="shared" si="1"/>
        <v>0.40000000000000008</v>
      </c>
      <c r="E17" s="63">
        <f t="shared" si="0"/>
        <v>7.3519618550384911E-3</v>
      </c>
      <c r="F17" s="63">
        <f t="shared" si="2"/>
        <v>0.93905330172344892</v>
      </c>
      <c r="H17" s="35"/>
      <c r="U17" s="35"/>
      <c r="X17" s="63">
        <v>0.40000000000000008</v>
      </c>
      <c r="Y17" s="63">
        <v>0.93905330172344892</v>
      </c>
    </row>
    <row r="18" spans="1:25" ht="15.75" thickBot="1" x14ac:dyDescent="0.3">
      <c r="A18" s="61" t="s">
        <v>21</v>
      </c>
      <c r="B18" s="62">
        <v>1350</v>
      </c>
      <c r="C18" s="63">
        <v>2.8571428571428571E-2</v>
      </c>
      <c r="D18" s="63">
        <f t="shared" si="1"/>
        <v>0.42857142857142866</v>
      </c>
      <c r="E18" s="63">
        <f t="shared" si="0"/>
        <v>7.1921365973202636E-3</v>
      </c>
      <c r="F18" s="63">
        <f t="shared" si="2"/>
        <v>0.94624543832076913</v>
      </c>
      <c r="H18" s="35"/>
      <c r="U18" s="35"/>
      <c r="X18" s="63">
        <v>0.42857142857142866</v>
      </c>
      <c r="Y18" s="63">
        <v>0.94624543832076913</v>
      </c>
    </row>
    <row r="19" spans="1:25" ht="15.75" thickBot="1" x14ac:dyDescent="0.3">
      <c r="A19" s="61" t="s">
        <v>18</v>
      </c>
      <c r="B19" s="62">
        <v>1100</v>
      </c>
      <c r="C19" s="63">
        <v>2.8571428571428571E-2</v>
      </c>
      <c r="D19" s="63">
        <f t="shared" si="1"/>
        <v>0.45714285714285724</v>
      </c>
      <c r="E19" s="63">
        <f t="shared" si="0"/>
        <v>5.8602594496683629E-3</v>
      </c>
      <c r="F19" s="63">
        <f t="shared" si="2"/>
        <v>0.95210569777043752</v>
      </c>
      <c r="H19" s="35"/>
      <c r="U19" s="35"/>
      <c r="X19" s="63">
        <v>0.45714285714285724</v>
      </c>
      <c r="Y19" s="63">
        <v>0.95210569777043752</v>
      </c>
    </row>
    <row r="20" spans="1:25" ht="15.75" thickBot="1" x14ac:dyDescent="0.3">
      <c r="A20" s="61" t="s">
        <v>26</v>
      </c>
      <c r="B20" s="62">
        <v>1075</v>
      </c>
      <c r="C20" s="63">
        <v>2.8571428571428571E-2</v>
      </c>
      <c r="D20" s="63">
        <f t="shared" si="1"/>
        <v>0.48571428571428582</v>
      </c>
      <c r="E20" s="63">
        <f t="shared" si="0"/>
        <v>5.7270717349031724E-3</v>
      </c>
      <c r="F20" s="63">
        <f t="shared" si="2"/>
        <v>0.95783276950534069</v>
      </c>
      <c r="H20" s="35"/>
      <c r="U20" s="35"/>
      <c r="X20" s="63">
        <v>0.48571428571428582</v>
      </c>
      <c r="Y20" s="63">
        <v>0.95783276950534069</v>
      </c>
    </row>
    <row r="21" spans="1:25" ht="15.75" thickBot="1" x14ac:dyDescent="0.3">
      <c r="A21" s="58" t="s">
        <v>7</v>
      </c>
      <c r="B21" s="59">
        <v>1050</v>
      </c>
      <c r="C21" s="60">
        <v>2.8571428571428571E-2</v>
      </c>
      <c r="D21" s="60">
        <f t="shared" si="1"/>
        <v>0.51428571428571435</v>
      </c>
      <c r="E21" s="60">
        <f t="shared" si="0"/>
        <v>5.5938840201379828E-3</v>
      </c>
      <c r="F21" s="60">
        <f t="shared" si="2"/>
        <v>0.96342665352547863</v>
      </c>
      <c r="H21" s="35"/>
      <c r="U21" s="35"/>
      <c r="X21" s="60">
        <v>0.51428571428571435</v>
      </c>
      <c r="Y21" s="60">
        <v>0.96342665352547863</v>
      </c>
    </row>
    <row r="22" spans="1:25" ht="15.75" thickBot="1" x14ac:dyDescent="0.3">
      <c r="A22" s="58" t="s">
        <v>19</v>
      </c>
      <c r="B22" s="59">
        <v>820</v>
      </c>
      <c r="C22" s="60">
        <v>2.8571428571428571E-2</v>
      </c>
      <c r="D22" s="60">
        <f t="shared" si="1"/>
        <v>0.54285714285714293</v>
      </c>
      <c r="E22" s="60">
        <f t="shared" si="0"/>
        <v>4.3685570442982338E-3</v>
      </c>
      <c r="F22" s="60">
        <f t="shared" si="2"/>
        <v>0.96779521056977691</v>
      </c>
      <c r="H22" s="35"/>
      <c r="U22" s="35"/>
      <c r="X22" s="60">
        <v>0.54285714285714293</v>
      </c>
      <c r="Y22" s="60">
        <v>0.96779521056977691</v>
      </c>
    </row>
    <row r="23" spans="1:25" ht="15.75" thickBot="1" x14ac:dyDescent="0.3">
      <c r="A23" s="58" t="s">
        <v>24</v>
      </c>
      <c r="B23" s="59">
        <v>800</v>
      </c>
      <c r="C23" s="60">
        <v>2.8571428571428571E-2</v>
      </c>
      <c r="D23" s="60">
        <f t="shared" si="1"/>
        <v>0.57142857142857151</v>
      </c>
      <c r="E23" s="60">
        <f t="shared" si="0"/>
        <v>4.2620068724860821E-3</v>
      </c>
      <c r="F23" s="60">
        <f t="shared" si="2"/>
        <v>0.97205721744226303</v>
      </c>
      <c r="H23" s="35"/>
      <c r="U23" s="35"/>
      <c r="X23" s="60">
        <v>0.57142857142857151</v>
      </c>
      <c r="Y23" s="60">
        <v>0.97205721744226303</v>
      </c>
    </row>
    <row r="24" spans="1:25" ht="15.75" thickBot="1" x14ac:dyDescent="0.3">
      <c r="A24" s="58" t="s">
        <v>32</v>
      </c>
      <c r="B24" s="59">
        <v>780</v>
      </c>
      <c r="C24" s="60">
        <v>2.8571428571428571E-2</v>
      </c>
      <c r="D24" s="60">
        <f t="shared" si="1"/>
        <v>0.60000000000000009</v>
      </c>
      <c r="E24" s="60">
        <f t="shared" si="0"/>
        <v>4.1554567006739295E-3</v>
      </c>
      <c r="F24" s="60">
        <f t="shared" si="2"/>
        <v>0.976212674142937</v>
      </c>
      <c r="H24" s="35"/>
      <c r="U24" s="35"/>
      <c r="X24" s="60">
        <v>0.60000000000000009</v>
      </c>
      <c r="Y24" s="60">
        <v>0.976212674142937</v>
      </c>
    </row>
    <row r="25" spans="1:25" ht="15.75" thickBot="1" x14ac:dyDescent="0.3">
      <c r="A25" s="58" t="s">
        <v>5</v>
      </c>
      <c r="B25" s="59">
        <v>570</v>
      </c>
      <c r="C25" s="60">
        <v>2.8571428571428571E-2</v>
      </c>
      <c r="D25" s="60">
        <f t="shared" si="1"/>
        <v>0.62857142857142867</v>
      </c>
      <c r="E25" s="60">
        <f t="shared" si="0"/>
        <v>3.0366798966463332E-3</v>
      </c>
      <c r="F25" s="60">
        <f t="shared" si="2"/>
        <v>0.97924935403958335</v>
      </c>
      <c r="H25" s="35"/>
      <c r="U25" s="35"/>
      <c r="X25" s="60">
        <v>0.62857142857142867</v>
      </c>
      <c r="Y25" s="60">
        <v>0.97924935403958335</v>
      </c>
    </row>
    <row r="26" spans="1:25" ht="15.75" thickBot="1" x14ac:dyDescent="0.3">
      <c r="A26" s="58" t="s">
        <v>12</v>
      </c>
      <c r="B26" s="59">
        <v>555</v>
      </c>
      <c r="C26" s="60">
        <v>2.8571428571428571E-2</v>
      </c>
      <c r="D26" s="60">
        <f t="shared" si="1"/>
        <v>0.65714285714285725</v>
      </c>
      <c r="E26" s="60">
        <f t="shared" si="0"/>
        <v>2.9567672677872194E-3</v>
      </c>
      <c r="F26" s="60">
        <f t="shared" si="2"/>
        <v>0.98220612130737062</v>
      </c>
      <c r="H26" s="35"/>
      <c r="U26" s="35"/>
      <c r="X26" s="60">
        <v>0.65714285714285725</v>
      </c>
      <c r="Y26" s="60">
        <v>0.98220612130737062</v>
      </c>
    </row>
    <row r="27" spans="1:25" ht="15.75" thickBot="1" x14ac:dyDescent="0.3">
      <c r="A27" s="58" t="s">
        <v>22</v>
      </c>
      <c r="B27" s="59">
        <v>540</v>
      </c>
      <c r="C27" s="60">
        <v>2.8571428571428571E-2</v>
      </c>
      <c r="D27" s="60">
        <f t="shared" si="1"/>
        <v>0.68571428571428583</v>
      </c>
      <c r="E27" s="60">
        <f t="shared" si="0"/>
        <v>2.8768546389281052E-3</v>
      </c>
      <c r="F27" s="60">
        <f t="shared" si="2"/>
        <v>0.98508297594629868</v>
      </c>
      <c r="H27" s="35"/>
      <c r="U27" s="35"/>
      <c r="X27" s="60">
        <v>0.68571428571428583</v>
      </c>
      <c r="Y27" s="60">
        <v>0.98508297594629868</v>
      </c>
    </row>
    <row r="28" spans="1:25" ht="15.75" thickBot="1" x14ac:dyDescent="0.3">
      <c r="A28" s="58" t="s">
        <v>8</v>
      </c>
      <c r="B28" s="59">
        <v>525</v>
      </c>
      <c r="C28" s="60">
        <v>2.8571428571428571E-2</v>
      </c>
      <c r="D28" s="60">
        <f t="shared" si="1"/>
        <v>0.71428571428571441</v>
      </c>
      <c r="E28" s="60">
        <f t="shared" si="0"/>
        <v>2.7969420100689914E-3</v>
      </c>
      <c r="F28" s="60">
        <f t="shared" si="2"/>
        <v>0.98787991795636765</v>
      </c>
      <c r="H28" s="35"/>
      <c r="U28" s="35"/>
      <c r="X28" s="60">
        <v>0.71428571428571441</v>
      </c>
      <c r="Y28" s="60">
        <v>0.98787991795636765</v>
      </c>
    </row>
    <row r="29" spans="1:25" ht="15.75" thickBot="1" x14ac:dyDescent="0.3">
      <c r="A29" s="58" t="s">
        <v>3</v>
      </c>
      <c r="B29" s="59">
        <v>340</v>
      </c>
      <c r="C29" s="60">
        <v>2.8571428571428571E-2</v>
      </c>
      <c r="D29" s="60">
        <f t="shared" si="1"/>
        <v>0.74285714285714299</v>
      </c>
      <c r="E29" s="60">
        <f t="shared" si="0"/>
        <v>1.8113529208065849E-3</v>
      </c>
      <c r="F29" s="60">
        <f t="shared" si="2"/>
        <v>0.98969127087717423</v>
      </c>
      <c r="H29" s="35"/>
      <c r="U29" s="35"/>
      <c r="X29" s="60">
        <v>0.74285714285714299</v>
      </c>
      <c r="Y29" s="60">
        <v>0.98969127087717423</v>
      </c>
    </row>
    <row r="30" spans="1:25" ht="15.75" thickBot="1" x14ac:dyDescent="0.3">
      <c r="A30" s="58" t="s">
        <v>14</v>
      </c>
      <c r="B30" s="59">
        <v>330</v>
      </c>
      <c r="C30" s="60">
        <v>2.8571428571428571E-2</v>
      </c>
      <c r="D30" s="60">
        <f t="shared" si="1"/>
        <v>0.77142857142857157</v>
      </c>
      <c r="E30" s="60">
        <f t="shared" si="0"/>
        <v>1.7580778349005088E-3</v>
      </c>
      <c r="F30" s="60">
        <f t="shared" si="2"/>
        <v>0.9914493487120748</v>
      </c>
      <c r="H30" s="35"/>
      <c r="U30" s="35"/>
      <c r="X30" s="60">
        <v>0.77142857142857157</v>
      </c>
      <c r="Y30" s="60">
        <v>0.9914493487120748</v>
      </c>
    </row>
    <row r="31" spans="1:25" ht="15.75" thickBot="1" x14ac:dyDescent="0.3">
      <c r="A31" s="58" t="s">
        <v>20</v>
      </c>
      <c r="B31" s="59">
        <v>320</v>
      </c>
      <c r="C31" s="60">
        <v>2.8571428571428571E-2</v>
      </c>
      <c r="D31" s="60">
        <f t="shared" si="1"/>
        <v>0.80000000000000016</v>
      </c>
      <c r="E31" s="60">
        <f t="shared" si="0"/>
        <v>1.7048027489944327E-3</v>
      </c>
      <c r="F31" s="60">
        <f t="shared" si="2"/>
        <v>0.99315415146106922</v>
      </c>
      <c r="H31" s="35"/>
      <c r="U31" s="35"/>
      <c r="X31" s="60">
        <v>0.80000000000000016</v>
      </c>
      <c r="Y31" s="60">
        <v>0.99315415146106922</v>
      </c>
    </row>
    <row r="32" spans="1:25" ht="15.75" thickBot="1" x14ac:dyDescent="0.3">
      <c r="A32" s="58" t="s">
        <v>6</v>
      </c>
      <c r="B32" s="59">
        <v>310</v>
      </c>
      <c r="C32" s="60">
        <v>2.8571428571428571E-2</v>
      </c>
      <c r="D32" s="60">
        <f t="shared" si="1"/>
        <v>0.82857142857142874</v>
      </c>
      <c r="E32" s="60">
        <f t="shared" si="0"/>
        <v>1.6515276630883566E-3</v>
      </c>
      <c r="F32" s="60">
        <f t="shared" si="2"/>
        <v>0.99480567912415763</v>
      </c>
      <c r="H32" s="35"/>
      <c r="U32" s="35"/>
      <c r="X32" s="60">
        <v>0.82857142857142874</v>
      </c>
      <c r="Y32" s="60">
        <v>0.99480567912415763</v>
      </c>
    </row>
    <row r="33" spans="1:25" ht="15.75" thickBot="1" x14ac:dyDescent="0.3">
      <c r="A33" s="58" t="s">
        <v>13</v>
      </c>
      <c r="B33" s="59">
        <v>300</v>
      </c>
      <c r="C33" s="60">
        <v>2.8571428571428571E-2</v>
      </c>
      <c r="D33" s="60">
        <f t="shared" si="1"/>
        <v>0.85714285714285732</v>
      </c>
      <c r="E33" s="60">
        <f t="shared" si="0"/>
        <v>1.5982525771822808E-3</v>
      </c>
      <c r="F33" s="60">
        <f t="shared" si="2"/>
        <v>0.9964039317013399</v>
      </c>
      <c r="H33" s="35"/>
      <c r="U33" s="35"/>
      <c r="X33" s="60">
        <v>0.85714285714285732</v>
      </c>
      <c r="Y33" s="60">
        <v>0.9964039317013399</v>
      </c>
    </row>
    <row r="34" spans="1:25" ht="15.75" thickBot="1" x14ac:dyDescent="0.3">
      <c r="A34" s="58" t="s">
        <v>2</v>
      </c>
      <c r="B34" s="59">
        <v>145</v>
      </c>
      <c r="C34" s="60">
        <v>2.8571428571428571E-2</v>
      </c>
      <c r="D34" s="60">
        <f t="shared" si="1"/>
        <v>0.8857142857142859</v>
      </c>
      <c r="E34" s="60">
        <f t="shared" si="0"/>
        <v>7.7248874563810236E-4</v>
      </c>
      <c r="F34" s="60">
        <f t="shared" si="2"/>
        <v>0.99717642044697796</v>
      </c>
      <c r="H34" s="35"/>
      <c r="U34" s="35"/>
      <c r="X34" s="60">
        <v>0.8857142857142859</v>
      </c>
      <c r="Y34" s="60">
        <v>0.99717642044697796</v>
      </c>
    </row>
    <row r="35" spans="1:25" ht="15.75" thickBot="1" x14ac:dyDescent="0.3">
      <c r="A35" s="58" t="s">
        <v>4</v>
      </c>
      <c r="B35" s="59">
        <v>140</v>
      </c>
      <c r="C35" s="60">
        <v>2.8571428571428571E-2</v>
      </c>
      <c r="D35" s="60">
        <f t="shared" si="1"/>
        <v>0.91428571428571448</v>
      </c>
      <c r="E35" s="60">
        <f t="shared" si="0"/>
        <v>7.4585120268506433E-4</v>
      </c>
      <c r="F35" s="60">
        <f t="shared" si="2"/>
        <v>0.99792227164966307</v>
      </c>
      <c r="H35" s="3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40"/>
      <c r="X35" s="60">
        <v>0.91428571428571448</v>
      </c>
      <c r="Y35" s="60">
        <v>0.99792227164966307</v>
      </c>
    </row>
    <row r="36" spans="1:25" ht="15.75" thickBot="1" x14ac:dyDescent="0.3">
      <c r="A36" s="58" t="s">
        <v>9</v>
      </c>
      <c r="B36" s="59">
        <v>135</v>
      </c>
      <c r="C36" s="60">
        <v>2.8571428571428571E-2</v>
      </c>
      <c r="D36" s="60">
        <f t="shared" si="1"/>
        <v>0.94285714285714306</v>
      </c>
      <c r="E36" s="60">
        <f t="shared" si="0"/>
        <v>7.1921365973202629E-4</v>
      </c>
      <c r="F36" s="60">
        <f t="shared" si="2"/>
        <v>0.99864148530939512</v>
      </c>
      <c r="X36" s="60">
        <v>0.94285714285714306</v>
      </c>
      <c r="Y36" s="60">
        <v>0.99864148530939512</v>
      </c>
    </row>
    <row r="37" spans="1:25" ht="15.75" thickBot="1" x14ac:dyDescent="0.3">
      <c r="A37" s="58" t="s">
        <v>10</v>
      </c>
      <c r="B37" s="59">
        <v>130</v>
      </c>
      <c r="C37" s="60">
        <v>2.8571428571428571E-2</v>
      </c>
      <c r="D37" s="60">
        <f t="shared" si="1"/>
        <v>0.97142857142857164</v>
      </c>
      <c r="E37" s="60">
        <f t="shared" si="0"/>
        <v>6.9257611677898826E-4</v>
      </c>
      <c r="F37" s="60">
        <f t="shared" si="2"/>
        <v>0.99933406142617409</v>
      </c>
      <c r="X37" s="60">
        <v>0.97142857142857164</v>
      </c>
      <c r="Y37" s="60">
        <v>0.99933406142617409</v>
      </c>
    </row>
    <row r="38" spans="1:25" ht="15.75" thickBot="1" x14ac:dyDescent="0.3">
      <c r="A38" s="58" t="s">
        <v>16</v>
      </c>
      <c r="B38" s="59">
        <v>125</v>
      </c>
      <c r="C38" s="60">
        <v>2.8571428571428571E-2</v>
      </c>
      <c r="D38" s="60">
        <f t="shared" si="1"/>
        <v>1.0000000000000002</v>
      </c>
      <c r="E38" s="60">
        <f t="shared" si="0"/>
        <v>6.6593857382595033E-4</v>
      </c>
      <c r="F38" s="60">
        <f t="shared" si="2"/>
        <v>1</v>
      </c>
      <c r="X38" s="60">
        <v>1.0000000000000002</v>
      </c>
      <c r="Y38" s="60">
        <v>1</v>
      </c>
    </row>
    <row r="39" spans="1:25" ht="15.75" thickBot="1" x14ac:dyDescent="0.3">
      <c r="A39" s="32" t="s">
        <v>64</v>
      </c>
      <c r="B39" s="33">
        <f>SUM(B4:B38)</f>
        <v>187705</v>
      </c>
      <c r="C39" s="33">
        <f t="shared" ref="C39" si="3">SUM(C4:C38)</f>
        <v>1.0000000000000002</v>
      </c>
      <c r="D39" s="33"/>
      <c r="E39" s="33"/>
      <c r="F39" s="33"/>
    </row>
  </sheetData>
  <mergeCells count="1">
    <mergeCell ref="J3:J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5A2C-5244-4265-9155-BC2A56E778FB}">
  <dimension ref="H1:W36"/>
  <sheetViews>
    <sheetView topLeftCell="L1" workbookViewId="0">
      <selection activeCell="V2" sqref="V2:W36"/>
    </sheetView>
  </sheetViews>
  <sheetFormatPr baseColWidth="10" defaultRowHeight="15" x14ac:dyDescent="0.25"/>
  <sheetData>
    <row r="1" spans="8:23" ht="15.75" thickBot="1" x14ac:dyDescent="0.3"/>
    <row r="2" spans="8:23" ht="15.75" thickBot="1" x14ac:dyDescent="0.3">
      <c r="H2" s="2" t="s">
        <v>5</v>
      </c>
      <c r="I2">
        <v>26</v>
      </c>
      <c r="L2" s="2" t="s">
        <v>1</v>
      </c>
      <c r="M2">
        <v>31</v>
      </c>
      <c r="O2" s="2" t="s">
        <v>2</v>
      </c>
      <c r="P2" s="48">
        <v>278</v>
      </c>
      <c r="R2" s="2" t="s">
        <v>1</v>
      </c>
      <c r="S2">
        <v>72</v>
      </c>
      <c r="V2" s="2" t="s">
        <v>23</v>
      </c>
      <c r="W2" s="6">
        <v>43851</v>
      </c>
    </row>
    <row r="3" spans="8:23" ht="15.75" thickBot="1" x14ac:dyDescent="0.3">
      <c r="H3" s="2" t="s">
        <v>16</v>
      </c>
      <c r="I3">
        <v>25</v>
      </c>
      <c r="L3" s="2" t="s">
        <v>30</v>
      </c>
      <c r="M3">
        <v>31</v>
      </c>
      <c r="O3" s="2" t="s">
        <v>3</v>
      </c>
      <c r="P3" s="48">
        <v>239</v>
      </c>
      <c r="R3" s="2" t="s">
        <v>2</v>
      </c>
      <c r="S3">
        <v>72</v>
      </c>
      <c r="V3" s="2" t="s">
        <v>2</v>
      </c>
      <c r="W3" s="6">
        <v>43854</v>
      </c>
    </row>
    <row r="4" spans="8:23" ht="15.75" thickBot="1" x14ac:dyDescent="0.3">
      <c r="H4" s="2" t="s">
        <v>10</v>
      </c>
      <c r="I4">
        <v>20</v>
      </c>
      <c r="L4" s="2" t="s">
        <v>33</v>
      </c>
      <c r="M4">
        <v>31</v>
      </c>
      <c r="O4" s="2" t="s">
        <v>4</v>
      </c>
      <c r="P4" s="48">
        <v>236</v>
      </c>
      <c r="R4" s="2" t="s">
        <v>7</v>
      </c>
      <c r="S4">
        <v>72</v>
      </c>
      <c r="V4" s="2" t="s">
        <v>1</v>
      </c>
      <c r="W4" s="6">
        <v>43869</v>
      </c>
    </row>
    <row r="5" spans="8:23" ht="15.75" thickBot="1" x14ac:dyDescent="0.3">
      <c r="H5" s="2" t="s">
        <v>2</v>
      </c>
      <c r="I5">
        <v>19</v>
      </c>
      <c r="L5" s="2" t="s">
        <v>28</v>
      </c>
      <c r="M5">
        <v>30</v>
      </c>
      <c r="O5" s="2" t="s">
        <v>5</v>
      </c>
      <c r="P5" s="48">
        <v>224</v>
      </c>
      <c r="R5" s="2" t="s">
        <v>23</v>
      </c>
      <c r="S5">
        <v>72</v>
      </c>
      <c r="V5" s="2" t="s">
        <v>7</v>
      </c>
      <c r="W5" s="6">
        <v>43870</v>
      </c>
    </row>
    <row r="6" spans="8:23" ht="15.75" thickBot="1" x14ac:dyDescent="0.3">
      <c r="H6" s="2" t="s">
        <v>4</v>
      </c>
      <c r="I6">
        <v>18</v>
      </c>
      <c r="L6" s="2" t="s">
        <v>29</v>
      </c>
      <c r="M6">
        <v>27</v>
      </c>
      <c r="O6" s="2" t="s">
        <v>6</v>
      </c>
      <c r="P6" s="48">
        <v>223</v>
      </c>
      <c r="R6" s="2" t="s">
        <v>5</v>
      </c>
      <c r="S6">
        <v>70</v>
      </c>
      <c r="V6" s="2" t="s">
        <v>5</v>
      </c>
      <c r="W6" s="6">
        <v>43915</v>
      </c>
    </row>
    <row r="7" spans="8:23" ht="15.75" thickBot="1" x14ac:dyDescent="0.3">
      <c r="H7" s="2" t="s">
        <v>33</v>
      </c>
      <c r="I7">
        <v>18</v>
      </c>
      <c r="L7" s="2" t="s">
        <v>34</v>
      </c>
      <c r="M7">
        <v>26</v>
      </c>
      <c r="O7" s="2" t="s">
        <v>7</v>
      </c>
      <c r="P7" s="48">
        <v>207</v>
      </c>
      <c r="R7" s="2" t="s">
        <v>28</v>
      </c>
      <c r="S7">
        <v>67</v>
      </c>
      <c r="V7" s="2" t="s">
        <v>28</v>
      </c>
      <c r="W7" s="6">
        <v>44009</v>
      </c>
    </row>
    <row r="8" spans="8:23" ht="15.75" thickBot="1" x14ac:dyDescent="0.3">
      <c r="H8" s="2" t="s">
        <v>29</v>
      </c>
      <c r="I8">
        <v>18</v>
      </c>
      <c r="L8" s="2" t="s">
        <v>35</v>
      </c>
      <c r="M8">
        <v>26</v>
      </c>
      <c r="O8" s="2" t="s">
        <v>8</v>
      </c>
      <c r="P8" s="48">
        <v>205</v>
      </c>
      <c r="R8" s="2" t="s">
        <v>11</v>
      </c>
      <c r="S8">
        <v>64</v>
      </c>
      <c r="V8" s="2" t="s">
        <v>11</v>
      </c>
      <c r="W8" s="6">
        <v>44097</v>
      </c>
    </row>
    <row r="9" spans="8:23" ht="15.75" thickBot="1" x14ac:dyDescent="0.3">
      <c r="H9" s="2" t="s">
        <v>9</v>
      </c>
      <c r="I9">
        <v>17</v>
      </c>
      <c r="L9" s="2" t="s">
        <v>16</v>
      </c>
      <c r="M9">
        <v>20</v>
      </c>
      <c r="O9" s="2" t="s">
        <v>9</v>
      </c>
      <c r="P9" s="48">
        <v>195</v>
      </c>
      <c r="R9" s="2" t="s">
        <v>3</v>
      </c>
      <c r="S9">
        <v>63</v>
      </c>
      <c r="V9" s="2" t="s">
        <v>3</v>
      </c>
      <c r="W9" s="6">
        <v>44136</v>
      </c>
    </row>
    <row r="10" spans="8:23" ht="15.75" thickBot="1" x14ac:dyDescent="0.3">
      <c r="H10" s="2" t="s">
        <v>35</v>
      </c>
      <c r="I10">
        <v>17</v>
      </c>
      <c r="L10" s="2" t="s">
        <v>10</v>
      </c>
      <c r="M10">
        <v>19</v>
      </c>
      <c r="O10" s="2" t="s">
        <v>10</v>
      </c>
      <c r="P10" s="48">
        <v>190</v>
      </c>
      <c r="R10" s="2" t="s">
        <v>21</v>
      </c>
      <c r="S10">
        <v>61</v>
      </c>
      <c r="V10" s="2" t="s">
        <v>21</v>
      </c>
      <c r="W10" s="6">
        <v>44202</v>
      </c>
    </row>
    <row r="11" spans="8:23" ht="15.75" thickBot="1" x14ac:dyDescent="0.3">
      <c r="H11" s="2" t="s">
        <v>31</v>
      </c>
      <c r="I11">
        <v>16</v>
      </c>
      <c r="L11" s="2" t="s">
        <v>2</v>
      </c>
      <c r="M11">
        <v>18</v>
      </c>
      <c r="O11" s="2" t="s">
        <v>11</v>
      </c>
      <c r="P11" s="48">
        <v>187</v>
      </c>
      <c r="R11" s="2" t="s">
        <v>10</v>
      </c>
      <c r="S11">
        <v>59</v>
      </c>
      <c r="V11" s="2" t="s">
        <v>10</v>
      </c>
      <c r="W11" s="6">
        <v>44255</v>
      </c>
    </row>
    <row r="12" spans="8:23" ht="15.75" thickBot="1" x14ac:dyDescent="0.3">
      <c r="H12" s="2" t="s">
        <v>34</v>
      </c>
      <c r="I12">
        <v>16</v>
      </c>
      <c r="L12" s="2" t="s">
        <v>4</v>
      </c>
      <c r="M12">
        <v>17</v>
      </c>
      <c r="O12" s="2" t="s">
        <v>12</v>
      </c>
      <c r="P12" s="48">
        <v>182</v>
      </c>
      <c r="R12" s="2" t="s">
        <v>29</v>
      </c>
      <c r="S12">
        <v>56</v>
      </c>
      <c r="V12" s="2" t="s">
        <v>29</v>
      </c>
      <c r="W12" s="6">
        <v>44346</v>
      </c>
    </row>
    <row r="13" spans="8:23" ht="15.75" thickBot="1" x14ac:dyDescent="0.3">
      <c r="H13" s="2" t="s">
        <v>7</v>
      </c>
      <c r="I13">
        <v>15</v>
      </c>
      <c r="L13" s="2" t="s">
        <v>31</v>
      </c>
      <c r="M13">
        <v>17</v>
      </c>
      <c r="O13" s="2" t="s">
        <v>13</v>
      </c>
      <c r="P13" s="48">
        <v>173</v>
      </c>
      <c r="R13" s="2" t="s">
        <v>6</v>
      </c>
      <c r="S13">
        <v>54</v>
      </c>
      <c r="V13" s="2" t="s">
        <v>31</v>
      </c>
      <c r="W13" s="6">
        <v>44391</v>
      </c>
    </row>
    <row r="14" spans="8:23" ht="15.75" thickBot="1" x14ac:dyDescent="0.3">
      <c r="H14" s="2" t="s">
        <v>3</v>
      </c>
      <c r="I14">
        <v>15</v>
      </c>
      <c r="L14" s="2" t="s">
        <v>9</v>
      </c>
      <c r="M14">
        <v>16</v>
      </c>
      <c r="O14" s="2" t="s">
        <v>14</v>
      </c>
      <c r="P14" s="48">
        <v>153</v>
      </c>
      <c r="R14" s="2" t="s">
        <v>12</v>
      </c>
      <c r="S14">
        <v>54</v>
      </c>
      <c r="V14" s="2" t="s">
        <v>12</v>
      </c>
      <c r="W14" s="6">
        <v>44393</v>
      </c>
    </row>
    <row r="15" spans="8:23" ht="15.75" thickBot="1" x14ac:dyDescent="0.3">
      <c r="H15" s="2" t="s">
        <v>11</v>
      </c>
      <c r="I15">
        <v>14</v>
      </c>
      <c r="L15" s="2" t="s">
        <v>21</v>
      </c>
      <c r="M15">
        <v>16</v>
      </c>
      <c r="O15" s="2" t="s">
        <v>15</v>
      </c>
      <c r="P15" s="48">
        <v>148</v>
      </c>
      <c r="R15" s="2" t="s">
        <v>31</v>
      </c>
      <c r="S15">
        <v>54</v>
      </c>
      <c r="V15" s="2" t="s">
        <v>6</v>
      </c>
      <c r="W15" s="6">
        <v>44415</v>
      </c>
    </row>
    <row r="16" spans="8:23" ht="15.75" thickBot="1" x14ac:dyDescent="0.3">
      <c r="H16" s="2" t="s">
        <v>6</v>
      </c>
      <c r="I16">
        <v>13</v>
      </c>
      <c r="L16" s="2" t="s">
        <v>23</v>
      </c>
      <c r="M16">
        <v>16</v>
      </c>
      <c r="O16" s="2" t="s">
        <v>16</v>
      </c>
      <c r="P16" s="48">
        <v>148</v>
      </c>
      <c r="R16" s="2" t="s">
        <v>30</v>
      </c>
      <c r="S16">
        <v>52</v>
      </c>
      <c r="V16" s="2" t="s">
        <v>30</v>
      </c>
      <c r="W16" s="6">
        <v>44453</v>
      </c>
    </row>
    <row r="17" spans="8:23" ht="15.75" thickBot="1" x14ac:dyDescent="0.3">
      <c r="H17" s="2" t="s">
        <v>8</v>
      </c>
      <c r="I17">
        <v>12</v>
      </c>
      <c r="L17" s="2" t="s">
        <v>15</v>
      </c>
      <c r="M17">
        <v>15</v>
      </c>
      <c r="O17" s="2" t="s">
        <v>17</v>
      </c>
      <c r="P17" s="48">
        <v>143</v>
      </c>
      <c r="R17" s="2" t="s">
        <v>19</v>
      </c>
      <c r="S17">
        <v>50</v>
      </c>
      <c r="V17" s="2" t="s">
        <v>19</v>
      </c>
      <c r="W17" s="6">
        <v>44528</v>
      </c>
    </row>
    <row r="18" spans="8:23" ht="15.75" thickBot="1" x14ac:dyDescent="0.3">
      <c r="H18" s="2" t="s">
        <v>17</v>
      </c>
      <c r="I18">
        <v>12</v>
      </c>
      <c r="L18" s="2" t="s">
        <v>3</v>
      </c>
      <c r="M18">
        <v>14</v>
      </c>
      <c r="O18" s="2" t="s">
        <v>18</v>
      </c>
      <c r="P18" s="48">
        <v>142</v>
      </c>
      <c r="R18" s="2" t="s">
        <v>33</v>
      </c>
      <c r="S18">
        <v>49</v>
      </c>
      <c r="V18" s="2" t="s">
        <v>33</v>
      </c>
      <c r="W18" s="6">
        <v>44566</v>
      </c>
    </row>
    <row r="19" spans="8:23" ht="15.75" thickBot="1" x14ac:dyDescent="0.3">
      <c r="H19" s="2" t="s">
        <v>28</v>
      </c>
      <c r="I19">
        <v>12</v>
      </c>
      <c r="L19" s="2" t="s">
        <v>7</v>
      </c>
      <c r="M19">
        <v>14</v>
      </c>
      <c r="O19" s="2" t="s">
        <v>19</v>
      </c>
      <c r="P19" s="48">
        <v>139</v>
      </c>
      <c r="R19" s="2" t="s">
        <v>15</v>
      </c>
      <c r="S19">
        <v>46</v>
      </c>
      <c r="V19" s="2" t="s">
        <v>15</v>
      </c>
      <c r="W19" s="6">
        <v>44654</v>
      </c>
    </row>
    <row r="20" spans="8:23" ht="15.75" thickBot="1" x14ac:dyDescent="0.3">
      <c r="H20" s="2" t="s">
        <v>19</v>
      </c>
      <c r="I20">
        <v>11</v>
      </c>
      <c r="L20" s="2" t="s">
        <v>11</v>
      </c>
      <c r="M20">
        <v>14</v>
      </c>
      <c r="O20" s="2" t="s">
        <v>20</v>
      </c>
      <c r="P20" s="48">
        <v>119</v>
      </c>
      <c r="R20" s="2" t="s">
        <v>24</v>
      </c>
      <c r="S20">
        <v>44</v>
      </c>
      <c r="V20" s="2" t="s">
        <v>24</v>
      </c>
      <c r="W20" s="6">
        <v>44694</v>
      </c>
    </row>
    <row r="21" spans="8:23" ht="15.75" thickBot="1" x14ac:dyDescent="0.3">
      <c r="H21" s="2" t="s">
        <v>12</v>
      </c>
      <c r="I21">
        <v>11</v>
      </c>
      <c r="L21" s="2" t="s">
        <v>17</v>
      </c>
      <c r="M21">
        <v>14</v>
      </c>
      <c r="O21" s="2" t="s">
        <v>21</v>
      </c>
      <c r="P21" s="48">
        <v>117</v>
      </c>
      <c r="R21" s="2" t="s">
        <v>16</v>
      </c>
      <c r="S21">
        <v>43</v>
      </c>
      <c r="V21" s="2" t="s">
        <v>16</v>
      </c>
      <c r="W21" s="6">
        <v>44742</v>
      </c>
    </row>
    <row r="22" spans="8:23" ht="15.75" thickBot="1" x14ac:dyDescent="0.3">
      <c r="H22" s="2" t="s">
        <v>21</v>
      </c>
      <c r="I22">
        <v>11</v>
      </c>
      <c r="L22" s="2" t="s">
        <v>19</v>
      </c>
      <c r="M22">
        <v>14</v>
      </c>
      <c r="O22" s="2" t="s">
        <v>22</v>
      </c>
      <c r="P22" s="48">
        <v>110</v>
      </c>
      <c r="R22" s="2" t="s">
        <v>17</v>
      </c>
      <c r="S22">
        <v>43</v>
      </c>
      <c r="V22" s="2" t="s">
        <v>17</v>
      </c>
      <c r="W22" s="6">
        <v>44744</v>
      </c>
    </row>
    <row r="23" spans="8:23" ht="15.75" thickBot="1" x14ac:dyDescent="0.3">
      <c r="H23" s="2" t="s">
        <v>30</v>
      </c>
      <c r="I23">
        <v>11</v>
      </c>
      <c r="L23" s="2" t="s">
        <v>24</v>
      </c>
      <c r="M23">
        <v>14</v>
      </c>
      <c r="O23" s="2" t="s">
        <v>23</v>
      </c>
      <c r="P23" s="48">
        <v>107</v>
      </c>
      <c r="R23" s="2" t="s">
        <v>8</v>
      </c>
      <c r="S23">
        <v>40</v>
      </c>
      <c r="V23" s="2" t="s">
        <v>8</v>
      </c>
      <c r="W23" s="6">
        <v>44824</v>
      </c>
    </row>
    <row r="24" spans="8:23" ht="15.75" thickBot="1" x14ac:dyDescent="0.3">
      <c r="H24" s="2" t="s">
        <v>24</v>
      </c>
      <c r="I24">
        <v>11</v>
      </c>
      <c r="L24" s="2" t="s">
        <v>25</v>
      </c>
      <c r="M24">
        <v>14</v>
      </c>
      <c r="O24" s="2" t="s">
        <v>24</v>
      </c>
      <c r="P24" s="48">
        <v>104</v>
      </c>
      <c r="R24" s="2" t="s">
        <v>13</v>
      </c>
      <c r="S24">
        <v>37</v>
      </c>
      <c r="V24" s="2" t="s">
        <v>13</v>
      </c>
      <c r="W24" s="6">
        <v>44907</v>
      </c>
    </row>
    <row r="25" spans="8:23" ht="15.75" thickBot="1" x14ac:dyDescent="0.3">
      <c r="H25" s="2" t="s">
        <v>15</v>
      </c>
      <c r="I25">
        <v>10</v>
      </c>
      <c r="L25" s="2" t="s">
        <v>27</v>
      </c>
      <c r="M25">
        <v>14</v>
      </c>
      <c r="O25" s="2" t="s">
        <v>25</v>
      </c>
      <c r="P25" s="48">
        <v>103</v>
      </c>
      <c r="R25" s="2" t="s">
        <v>4</v>
      </c>
      <c r="S25">
        <v>34</v>
      </c>
      <c r="V25" s="2" t="s">
        <v>34</v>
      </c>
      <c r="W25" s="6">
        <v>45001</v>
      </c>
    </row>
    <row r="26" spans="8:23" ht="15.75" thickBot="1" x14ac:dyDescent="0.3">
      <c r="H26" s="2" t="s">
        <v>1</v>
      </c>
      <c r="I26">
        <v>10</v>
      </c>
      <c r="L26" s="2" t="s">
        <v>32</v>
      </c>
      <c r="M26">
        <v>14</v>
      </c>
      <c r="O26" s="2" t="s">
        <v>26</v>
      </c>
      <c r="P26" s="48">
        <v>93</v>
      </c>
      <c r="R26" s="2" t="s">
        <v>34</v>
      </c>
      <c r="S26">
        <v>34</v>
      </c>
      <c r="V26" s="2" t="s">
        <v>4</v>
      </c>
      <c r="W26" s="6">
        <v>45021</v>
      </c>
    </row>
    <row r="27" spans="8:23" ht="15.75" thickBot="1" x14ac:dyDescent="0.3">
      <c r="H27" s="2" t="s">
        <v>23</v>
      </c>
      <c r="I27">
        <v>10</v>
      </c>
      <c r="L27" s="2" t="s">
        <v>5</v>
      </c>
      <c r="M27">
        <v>13</v>
      </c>
      <c r="O27" s="2" t="s">
        <v>27</v>
      </c>
      <c r="P27" s="48">
        <v>83</v>
      </c>
      <c r="R27" s="2" t="s">
        <v>18</v>
      </c>
      <c r="S27">
        <v>33</v>
      </c>
      <c r="V27" s="2" t="s">
        <v>18</v>
      </c>
      <c r="W27" s="6">
        <v>45033</v>
      </c>
    </row>
    <row r="28" spans="8:23" ht="15.75" thickBot="1" x14ac:dyDescent="0.3">
      <c r="H28" s="2" t="s">
        <v>13</v>
      </c>
      <c r="I28">
        <v>9</v>
      </c>
      <c r="L28" s="2" t="s">
        <v>6</v>
      </c>
      <c r="M28">
        <v>13</v>
      </c>
      <c r="O28" s="2" t="s">
        <v>28</v>
      </c>
      <c r="P28" s="48">
        <v>80</v>
      </c>
      <c r="R28" s="2" t="s">
        <v>14</v>
      </c>
      <c r="S28">
        <v>31</v>
      </c>
      <c r="V28" s="2" t="s">
        <v>14</v>
      </c>
      <c r="W28" s="6">
        <v>45095</v>
      </c>
    </row>
    <row r="29" spans="8:23" ht="15.75" thickBot="1" x14ac:dyDescent="0.3">
      <c r="H29" s="2" t="s">
        <v>22</v>
      </c>
      <c r="I29">
        <v>9</v>
      </c>
      <c r="L29" s="2" t="s">
        <v>12</v>
      </c>
      <c r="M29">
        <v>13</v>
      </c>
      <c r="O29" s="2" t="s">
        <v>29</v>
      </c>
      <c r="P29" s="48">
        <v>72</v>
      </c>
      <c r="R29" s="2" t="s">
        <v>32</v>
      </c>
      <c r="S29">
        <v>28</v>
      </c>
      <c r="V29" s="2" t="s">
        <v>32</v>
      </c>
      <c r="W29" s="6">
        <v>45203</v>
      </c>
    </row>
    <row r="30" spans="8:23" ht="15.75" thickBot="1" x14ac:dyDescent="0.3">
      <c r="H30" s="2" t="s">
        <v>18</v>
      </c>
      <c r="I30">
        <v>9</v>
      </c>
      <c r="L30" s="2" t="s">
        <v>13</v>
      </c>
      <c r="M30">
        <v>13</v>
      </c>
      <c r="O30" s="2" t="s">
        <v>30</v>
      </c>
      <c r="P30" s="48">
        <v>71</v>
      </c>
      <c r="R30" s="2" t="s">
        <v>25</v>
      </c>
      <c r="S30">
        <v>27</v>
      </c>
      <c r="V30" s="2" t="s">
        <v>25</v>
      </c>
      <c r="W30" s="6">
        <v>45228</v>
      </c>
    </row>
    <row r="31" spans="8:23" ht="15.75" thickBot="1" x14ac:dyDescent="0.3">
      <c r="H31" s="2" t="s">
        <v>32</v>
      </c>
      <c r="I31">
        <v>9</v>
      </c>
      <c r="L31" s="2" t="s">
        <v>14</v>
      </c>
      <c r="M31">
        <v>13</v>
      </c>
      <c r="O31" s="2" t="s">
        <v>31</v>
      </c>
      <c r="P31" s="48">
        <v>70</v>
      </c>
      <c r="R31" s="2" t="s">
        <v>22</v>
      </c>
      <c r="S31">
        <v>25</v>
      </c>
      <c r="V31" s="2" t="s">
        <v>22</v>
      </c>
      <c r="W31" s="6">
        <v>45300</v>
      </c>
    </row>
    <row r="32" spans="8:23" ht="15.75" thickBot="1" x14ac:dyDescent="0.3">
      <c r="H32" s="2" t="s">
        <v>14</v>
      </c>
      <c r="I32">
        <v>9</v>
      </c>
      <c r="L32" s="2" t="s">
        <v>18</v>
      </c>
      <c r="M32">
        <v>13</v>
      </c>
      <c r="O32" s="2" t="s">
        <v>32</v>
      </c>
      <c r="P32" s="48">
        <v>69</v>
      </c>
      <c r="R32" s="2" t="s">
        <v>20</v>
      </c>
      <c r="S32">
        <v>23</v>
      </c>
      <c r="V32" s="2" t="s">
        <v>27</v>
      </c>
      <c r="W32" s="6">
        <v>45333</v>
      </c>
    </row>
    <row r="33" spans="8:23" ht="15.75" thickBot="1" x14ac:dyDescent="0.3">
      <c r="H33" s="2" t="s">
        <v>27</v>
      </c>
      <c r="I33">
        <v>8</v>
      </c>
      <c r="L33" s="2" t="s">
        <v>22</v>
      </c>
      <c r="M33">
        <v>13</v>
      </c>
      <c r="O33" s="2" t="s">
        <v>33</v>
      </c>
      <c r="P33" s="48">
        <v>68</v>
      </c>
      <c r="R33" s="2" t="s">
        <v>27</v>
      </c>
      <c r="S33">
        <v>23</v>
      </c>
      <c r="V33" s="2" t="s">
        <v>20</v>
      </c>
      <c r="W33" s="6">
        <v>45348</v>
      </c>
    </row>
    <row r="34" spans="8:23" ht="15.75" thickBot="1" x14ac:dyDescent="0.3">
      <c r="H34" s="2" t="s">
        <v>25</v>
      </c>
      <c r="I34">
        <v>8</v>
      </c>
      <c r="L34" s="2" t="s">
        <v>26</v>
      </c>
      <c r="M34">
        <v>13</v>
      </c>
      <c r="O34" s="2" t="s">
        <v>1</v>
      </c>
      <c r="P34" s="48">
        <v>59</v>
      </c>
      <c r="R34" s="2" t="s">
        <v>26</v>
      </c>
      <c r="S34">
        <v>17</v>
      </c>
      <c r="V34" s="2" t="s">
        <v>26</v>
      </c>
      <c r="W34" s="6">
        <v>45536</v>
      </c>
    </row>
    <row r="35" spans="8:23" ht="15.75" thickBot="1" x14ac:dyDescent="0.3">
      <c r="H35" s="2" t="s">
        <v>20</v>
      </c>
      <c r="I35">
        <v>7</v>
      </c>
      <c r="L35" s="2" t="s">
        <v>20</v>
      </c>
      <c r="M35">
        <v>12</v>
      </c>
      <c r="O35" s="2" t="s">
        <v>34</v>
      </c>
      <c r="P35" s="48">
        <v>56</v>
      </c>
      <c r="R35" s="2" t="s">
        <v>9</v>
      </c>
      <c r="S35">
        <v>16</v>
      </c>
      <c r="V35" s="2" t="s">
        <v>9</v>
      </c>
      <c r="W35" s="6">
        <v>45549</v>
      </c>
    </row>
    <row r="36" spans="8:23" ht="15.75" thickBot="1" x14ac:dyDescent="0.3">
      <c r="H36" s="2" t="s">
        <v>26</v>
      </c>
      <c r="I36">
        <v>7</v>
      </c>
      <c r="L36" s="2" t="s">
        <v>8</v>
      </c>
      <c r="M36">
        <v>11</v>
      </c>
      <c r="O36" s="2" t="s">
        <v>35</v>
      </c>
      <c r="P36" s="48">
        <v>51</v>
      </c>
      <c r="R36" s="2" t="s">
        <v>35</v>
      </c>
      <c r="S36">
        <v>16</v>
      </c>
      <c r="V36" s="2" t="s">
        <v>35</v>
      </c>
      <c r="W36" s="6">
        <v>45574</v>
      </c>
    </row>
  </sheetData>
  <sortState xmlns:xlrd2="http://schemas.microsoft.com/office/spreadsheetml/2017/richdata2" ref="V2:W36">
    <sortCondition ref="W2:W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groupe 4</vt:lpstr>
      <vt:lpstr>Scoring RFM</vt:lpstr>
      <vt:lpstr>Questions</vt:lpstr>
      <vt:lpstr>Loi Pareto</vt:lpstr>
      <vt:lpstr>Méthode ABC</vt:lpstr>
      <vt:lpstr>Feuil3</vt:lpstr>
    </vt:vector>
  </TitlesOfParts>
  <Company>universite de lorraine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Dardart</dc:creator>
  <cp:lastModifiedBy>Malik Turkoglu</cp:lastModifiedBy>
  <dcterms:created xsi:type="dcterms:W3CDTF">2026-01-15T09:40:15Z</dcterms:created>
  <dcterms:modified xsi:type="dcterms:W3CDTF">2026-05-23T01:07:24Z</dcterms:modified>
</cp:coreProperties>
</file>